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ownloads\"/>
    </mc:Choice>
  </mc:AlternateContent>
  <bookViews>
    <workbookView xWindow="0" yWindow="0" windowWidth="23040" windowHeight="9372" tabRatio="500"/>
  </bookViews>
  <sheets>
    <sheet name="Dashboard" sheetId="1" r:id="rId1"/>
    <sheet name="Raw_Business_Data" sheetId="2" r:id="rId2"/>
    <sheet name="Cleaned_Sales_Data" sheetId="3" r:id="rId3"/>
    <sheet name="DAX_Measures" sheetId="14" r:id="rId4"/>
    <sheet name="Pivot_Region" sheetId="10" r:id="rId5"/>
    <sheet name="Pivot_Product" sheetId="12" r:id="rId6"/>
    <sheet name="Pivot_Monthly" sheetId="13" r:id="rId7"/>
    <sheet name="Products_Table" sheetId="4" r:id="rId8"/>
  </sheets>
  <definedNames>
    <definedName name="_xlcn.LinkedTable_Table21" hidden="1">Table2[]</definedName>
    <definedName name="_xlcn.LinkedTable_Table31" hidden="1">Table3[]</definedName>
    <definedName name="Slicer_Category">#N/A</definedName>
    <definedName name="Slicer_Product1">#N/A</definedName>
    <definedName name="Slicer_Region1">#N/A</definedName>
    <definedName name="Timeline_Order_Date">#N/A</definedName>
  </definedNames>
  <calcPr calcId="152511" iterateDelta="1E-4"/>
  <pivotCaches>
    <pivotCache cacheId="349" r:id="rId9"/>
    <pivotCache cacheId="352" r:id="rId10"/>
    <pivotCache cacheId="355" r:id="rId11"/>
    <pivotCache cacheId="381" r:id="rId12"/>
  </pivotCaches>
  <extLst>
    <ext xmlns:x14="http://schemas.microsoft.com/office/spreadsheetml/2009/9/main" uri="{876F7934-8845-4945-9796-88D515C7AA90}">
      <x14:pivotCaches>
        <pivotCache cacheId="347"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8"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FCE2AD5D-F65C-4FA6-A056-5C36A1767C68}">
      <x15:dataModel>
        <x15:modelTables>
          <x15:modelTable id="Table3-1c911c78-0465-49ec-afd0-72d71c683af5" name="Table3" connection="LinkedTable_Table3"/>
          <x15:modelTable id="Table2-14ae2d4b-8637-4713-9088-0552286372f5" name="Table2" connection="LinkedTable_Table2"/>
        </x15:modelTables>
        <x15:modelRelationships>
          <x15:modelRelationship fromTable="Table2" fromColumn="Product" toTable="Table3" toColumn="Product Name"/>
        </x15:modelRelationships>
      </x15:dataModel>
    </ext>
    <ext xmlns:loext="http://schemas.libreoffice.org/" uri="{7626C862-2A13-11E5-B345-FEFF819CDC9F}">
      <loext:extCalcPr stringRefSyntax="ExcelA1"/>
    </ext>
  </extLst>
</workbook>
</file>

<file path=xl/calcChain.xml><?xml version="1.0" encoding="utf-8"?>
<calcChain xmlns="http://schemas.openxmlformats.org/spreadsheetml/2006/main">
  <c r="I52" i="3" l="1"/>
</calcChain>
</file>

<file path=xl/connections.xml><?xml version="1.0" encoding="utf-8"?>
<connections xmlns="http://schemas.openxmlformats.org/spreadsheetml/2006/main">
  <connection id="1" name="LinkedTable_Table2" type="102" refreshedVersion="5" minRefreshableVersion="5">
    <extLst>
      <ext xmlns:x15="http://schemas.microsoft.com/office/spreadsheetml/2010/11/main" uri="{DE250136-89BD-433C-8126-D09CA5730AF9}">
        <x15:connection id="Table2-14ae2d4b-8637-4713-9088-0552286372f5">
          <x15:rangePr sourceName="_xlcn.LinkedTable_Table21"/>
        </x15:connection>
      </ext>
    </extLst>
  </connection>
  <connection id="2" name="LinkedTable_Table3" type="102" refreshedVersion="5" minRefreshableVersion="5">
    <extLst>
      <ext xmlns:x15="http://schemas.microsoft.com/office/spreadsheetml/2010/11/main" uri="{DE250136-89BD-433C-8126-D09CA5730AF9}">
        <x15:connection id="Table3-1c911c78-0465-49ec-afd0-72d71c683af5">
          <x15:rangePr sourceName="_xlcn.LinkedTable_Table31"/>
        </x15:connection>
      </ext>
    </extLst>
  </connection>
  <connection id="3"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<sst xmlns="http://schemas.openxmlformats.org/spreadsheetml/2006/main" count="614" uniqueCount="135">
  <si>
    <t>📊  BUSINESS PERFORMANCE DASHBOARD  |  FY 2024</t>
  </si>
  <si>
    <t>Module 6 Assignment  ·  Data Source: Cleaned_Sales_Data  ·  Powered by Power Query &amp; Power Pivot</t>
  </si>
  <si>
    <t>TOTAL ORDERS</t>
  </si>
  <si>
    <t>TOTAL REVENUE</t>
  </si>
  <si>
    <t>AVG ORDER VALUE</t>
  </si>
  <si>
    <t>TOP REGION</t>
  </si>
  <si>
    <t>North</t>
  </si>
  <si>
    <t xml:space="preserve">  📍 Total Sales by Region</t>
  </si>
  <si>
    <t xml:space="preserve">  📦 Sales by Product</t>
  </si>
  <si>
    <t xml:space="preserve">  🎛️ SLICER SETUP INSTRUCTIONS  (Step 8)</t>
  </si>
  <si>
    <t>1. Click any PivotTable on a worksheet  →  PivotTable Analyze tab  →  Insert Slicer</t>
  </si>
  <si>
    <t>2. Check: ✅ Region   ✅ Product / Category   ✅ Order Date</t>
  </si>
  <si>
    <t>3. Right-click each slicer  →  Report Connections  →  connect to ALL PivotTables in workbook</t>
  </si>
  <si>
    <t>4. Drag slicers onto this Dashboard sheet and position them to the right of charts</t>
  </si>
  <si>
    <t>5. Style slicers: Slicer tab  →  Slicer Styles  →  choose a matching colour theme</t>
  </si>
  <si>
    <t>6. For Date slicer use Timeline (Insert  →  Timeline) for a month/quarter/year picker</t>
  </si>
  <si>
    <t>RAW BUSINESS DATA  (Step 2 – Before Power Query)</t>
  </si>
  <si>
    <t>Order ID</t>
  </si>
  <si>
    <t>Order Date</t>
  </si>
  <si>
    <t>Region</t>
  </si>
  <si>
    <t>Customer</t>
  </si>
  <si>
    <t>Product</t>
  </si>
  <si>
    <t>Category</t>
  </si>
  <si>
    <t>Quantity</t>
  </si>
  <si>
    <t>Unit Price ($)</t>
  </si>
  <si>
    <t>Sales Amount ($)</t>
  </si>
  <si>
    <t>ORD-001</t>
  </si>
  <si>
    <t>Bob Smith</t>
  </si>
  <si>
    <t>Bookshelf</t>
  </si>
  <si>
    <t>Furniture</t>
  </si>
  <si>
    <t>ORD-002</t>
  </si>
  <si>
    <t>Carol White</t>
  </si>
  <si>
    <t>Standing Desk</t>
  </si>
  <si>
    <t>ORD-006</t>
  </si>
  <si>
    <t>NORTH</t>
  </si>
  <si>
    <t xml:space="preserve">  bob smith  </t>
  </si>
  <si>
    <t>Laptop Pro</t>
  </si>
  <si>
    <t>Electronics</t>
  </si>
  <si>
    <t>ORD-004</t>
  </si>
  <si>
    <t>David Brown</t>
  </si>
  <si>
    <t>ORD-005</t>
  </si>
  <si>
    <t>West</t>
  </si>
  <si>
    <t>Ivy Chen</t>
  </si>
  <si>
    <t>Tablet Pro</t>
  </si>
  <si>
    <t>Eve Davis</t>
  </si>
  <si>
    <t>Pen Pack</t>
  </si>
  <si>
    <t>Stationery</t>
  </si>
  <si>
    <t>ORD-007</t>
  </si>
  <si>
    <t>East</t>
  </si>
  <si>
    <t>Frank Wilson</t>
  </si>
  <si>
    <t>Monitor 27in</t>
  </si>
  <si>
    <t>ORD-011</t>
  </si>
  <si>
    <t>2024-03-?</t>
  </si>
  <si>
    <t>South</t>
  </si>
  <si>
    <t>Office Chair</t>
  </si>
  <si>
    <t>N/A</t>
  </si>
  <si>
    <t>ORD-009</t>
  </si>
  <si>
    <t>USB-C Hub</t>
  </si>
  <si>
    <t>ORD-010</t>
  </si>
  <si>
    <t>Webcam HD</t>
  </si>
  <si>
    <t>Headphones</t>
  </si>
  <si>
    <t>ORD-012</t>
  </si>
  <si>
    <t>ORD-013</t>
  </si>
  <si>
    <t>Notebook Set</t>
  </si>
  <si>
    <t>ORD-014</t>
  </si>
  <si>
    <t>Henry Taylor</t>
  </si>
  <si>
    <t>ORD-015</t>
  </si>
  <si>
    <t>ORD-019</t>
  </si>
  <si>
    <t>east</t>
  </si>
  <si>
    <t>david brown</t>
  </si>
  <si>
    <t>notebook set</t>
  </si>
  <si>
    <t>stationery</t>
  </si>
  <si>
    <t>ORD-017</t>
  </si>
  <si>
    <t>ORD-018</t>
  </si>
  <si>
    <t>ORD-020</t>
  </si>
  <si>
    <t>ORD-021</t>
  </si>
  <si>
    <t>ORD-022</t>
  </si>
  <si>
    <t>ORD-023</t>
  </si>
  <si>
    <t>Grace Lee</t>
  </si>
  <si>
    <t>ORD-024</t>
  </si>
  <si>
    <t>ORD-025</t>
  </si>
  <si>
    <t>Wireless Mouse</t>
  </si>
  <si>
    <t>ORD-026</t>
  </si>
  <si>
    <t>ORD-027</t>
  </si>
  <si>
    <t>ORD-028</t>
  </si>
  <si>
    <t>ORD-029</t>
  </si>
  <si>
    <t>ORD-030</t>
  </si>
  <si>
    <t>ORD-031</t>
  </si>
  <si>
    <t>ORD-032</t>
  </si>
  <si>
    <t>ORD-033</t>
  </si>
  <si>
    <t>Alice Johnson</t>
  </si>
  <si>
    <t>ORD-034</t>
  </si>
  <si>
    <t>ORD-035</t>
  </si>
  <si>
    <t>ORD-036</t>
  </si>
  <si>
    <t>ORD-037</t>
  </si>
  <si>
    <t>ORD-038</t>
  </si>
  <si>
    <t>ORD-039</t>
  </si>
  <si>
    <t>ORD-040</t>
  </si>
  <si>
    <t>ORD-041</t>
  </si>
  <si>
    <t>Jack Morris</t>
  </si>
  <si>
    <t>ORD-042</t>
  </si>
  <si>
    <t>ORD-043</t>
  </si>
  <si>
    <t>ORD-044</t>
  </si>
  <si>
    <t>ORD-045</t>
  </si>
  <si>
    <t>ORD-046</t>
  </si>
  <si>
    <t>ORD-047</t>
  </si>
  <si>
    <t>ORD-048</t>
  </si>
  <si>
    <t>CLEANED SALES DATA  (Step 3 – Power Query Output)</t>
  </si>
  <si>
    <t>Customer Name</t>
  </si>
  <si>
    <t>ORD-003</t>
  </si>
  <si>
    <t>ORD-008</t>
  </si>
  <si>
    <t>ORD-016</t>
  </si>
  <si>
    <t>TOTAL</t>
  </si>
  <si>
    <t>PRODUCTS TABLE  (Step 5 – Lookup / Relationship Table)</t>
  </si>
  <si>
    <t>Product ID</t>
  </si>
  <si>
    <t>Product Name</t>
  </si>
  <si>
    <t>In Stock</t>
  </si>
  <si>
    <t>PRD-001</t>
  </si>
  <si>
    <t>Yes</t>
  </si>
  <si>
    <t>PRD-002</t>
  </si>
  <si>
    <t>PRD-003</t>
  </si>
  <si>
    <t>PRD-004</t>
  </si>
  <si>
    <t>PRD-005</t>
  </si>
  <si>
    <t>PRD-006</t>
  </si>
  <si>
    <t>PRD-007</t>
  </si>
  <si>
    <t>PRD-008</t>
  </si>
  <si>
    <t>PRD-009</t>
  </si>
  <si>
    <t>PRD-010</t>
  </si>
  <si>
    <t>PRD-011</t>
  </si>
  <si>
    <t>PRD-012</t>
  </si>
  <si>
    <t>Average Sales per Order</t>
  </si>
  <si>
    <t>Row Labels</t>
  </si>
  <si>
    <t>Grand Total</t>
  </si>
  <si>
    <t>Sum of Sales Amount ($)</t>
  </si>
  <si>
    <t>📅 Monthly Sales Trend  –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</si>
</sst>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
    <numFmt numFmtId="165" formatCode="yyyy\-mm\-dd"/>
    <numFmt numFmtId="167" formatCode="\$#,##0.00;\(\$#,##0.00\);\$#,##0.00"/>
  </numFmts>
  <fonts count="13" x14ac:knownFonts="1">
    <font>
      <sz val="11"/>
      <color theme="1"/>
      <name val="Calibri"/>
      <family val="2"/>
      <charset val="1"/>
    </font>
    <font>
      <b/>
      <sz val="20"/>
      <color rgb="FFFFFFFF"/>
      <name val="Arial"/>
      <charset val="1"/>
    </font>
    <font>
      <sz val="10"/>
      <color rgb="FFFFFFFF"/>
      <name val="Arial"/>
      <charset val="1"/>
    </font>
    <font>
      <b/>
      <sz val="9"/>
      <color rgb="FFFFFFFF"/>
      <name val="Arial"/>
      <charset val="1"/>
    </font>
    <font>
      <b/>
      <sz val="16"/>
      <color rgb="FF2E75B6"/>
      <name val="Arial"/>
      <charset val="1"/>
    </font>
    <font>
      <b/>
      <sz val="16"/>
      <color rgb="FF006064"/>
      <name val="Arial"/>
      <charset val="1"/>
    </font>
    <font>
      <b/>
      <sz val="16"/>
      <color rgb="FF7F6000"/>
      <name val="Arial"/>
      <charset val="1"/>
    </font>
    <font>
      <b/>
      <sz val="16"/>
      <color rgb="FF375623"/>
      <name val="Arial"/>
      <charset val="1"/>
    </font>
    <font>
      <b/>
      <sz val="11"/>
      <color rgb="FFFFFFFF"/>
      <name val="Arial"/>
      <charset val="1"/>
    </font>
    <font>
      <sz val="10"/>
      <color rgb="FF262626"/>
      <name val="Arial"/>
      <charset val="1"/>
    </font>
    <font>
      <b/>
      <sz val="16"/>
      <color rgb="FFFFFFFF"/>
      <name val="Arial"/>
      <charset val="1"/>
    </font>
    <font>
      <b/>
      <sz val="10"/>
      <color rgb="FFFFFFFF"/>
      <name val="Arial"/>
      <charset val="1"/>
    </font>
    <font>
      <b/>
      <sz val="12"/>
      <color theme="0"/>
      <name val="Calibri"/>
      <family val="2"/>
    </font>
  </fonts>
  <fills count="17">
    <fill>
      <patternFill patternType="none"/>
    </fill>
    <fill>
      <patternFill patternType="gray125"/>
    </fill>
    <fill>
      <patternFill patternType="solid">
        <fgColor rgb="FF1F4E79"/>
        <bgColor rgb="FF2E5F99"/>
      </patternFill>
    </fill>
    <fill>
      <patternFill patternType="solid">
        <fgColor rgb="FF2E75B6"/>
        <bgColor rgb="FF397BCA"/>
      </patternFill>
    </fill>
    <fill>
      <patternFill patternType="solid">
        <fgColor rgb="FF006064"/>
        <bgColor rgb="FF1F4E79"/>
      </patternFill>
    </fill>
    <fill>
      <patternFill patternType="solid">
        <fgColor rgb="FF7F6000"/>
        <bgColor rgb="FF843C0C"/>
      </patternFill>
    </fill>
    <fill>
      <patternFill patternType="solid">
        <fgColor rgb="FF375623"/>
        <bgColor rgb="FF1F4E79"/>
      </patternFill>
    </fill>
    <fill>
      <patternFill patternType="solid">
        <fgColor rgb="FFF0F6FF"/>
        <bgColor rgb="FFEBF3FB"/>
      </patternFill>
    </fill>
    <fill>
      <patternFill patternType="solid">
        <fgColor rgb="FFFFF2CC"/>
        <bgColor rgb="FFF5F5F5"/>
      </patternFill>
    </fill>
    <fill>
      <patternFill patternType="solid">
        <fgColor rgb="FFFFFFFF"/>
        <bgColor rgb="FFF9F9F9"/>
      </patternFill>
    </fill>
    <fill>
      <patternFill patternType="solid">
        <fgColor rgb="FFC00000"/>
        <bgColor rgb="FF800000"/>
      </patternFill>
    </fill>
    <fill>
      <patternFill patternType="solid">
        <fgColor rgb="FFEBF3FB"/>
        <bgColor rgb="FFF0F6FF"/>
      </patternFill>
    </fill>
    <fill>
      <patternFill patternType="solid">
        <fgColor rgb="FFFFE0E0"/>
        <bgColor rgb="FFFFF2CC"/>
      </patternFill>
    </fill>
    <fill>
      <patternFill patternType="solid">
        <fgColor rgb="FF0070C0"/>
        <bgColor indexed="64"/>
      </patternFill>
    </fill>
    <fill>
      <patternFill patternType="solid">
        <fgColor rgb="FF000099"/>
        <bgColor rgb="FF2E5F99"/>
      </patternFill>
    </fill>
    <fill>
      <patternFill patternType="solid">
        <fgColor rgb="FF0070C0"/>
        <bgColor rgb="FF397BCA"/>
      </patternFill>
    </fill>
    <fill>
      <patternFill patternType="solid">
        <fgColor theme="0"/>
        <bgColor indexed="64"/>
      </patternFill>
    </fill>
  </fills>
  <borders count="11">
    <border>
      <left/>
      <right/>
      <top/>
      <bottom/>
      <diagonal/>
    </border>
    <border>
      <left style="thin">
        <color rgb="FFC9D9EC"/>
      </left>
      <right style="thin">
        <color rgb="FFC9D9EC"/>
      </right>
      <top style="thin">
        <color rgb="FFC9D9EC"/>
      </top>
      <bottom style="thin">
        <color rgb="FFC9D9EC"/>
      </bottom>
      <diagonal/>
    </border>
    <border>
      <left/>
      <right style="thin">
        <color rgb="FFC9D9EC"/>
      </right>
      <top style="thin">
        <color rgb="FFC9D9EC"/>
      </top>
      <bottom style="thin">
        <color rgb="FFC9D9EC"/>
      </bottom>
      <diagonal/>
    </border>
    <border>
      <left style="thin">
        <color rgb="FFC9D9EC"/>
      </left>
      <right/>
      <top style="thin">
        <color rgb="FFC9D9EC"/>
      </top>
      <bottom style="thin">
        <color rgb="FFC9D9EC"/>
      </bottom>
      <diagonal/>
    </border>
    <border>
      <left/>
      <right style="thin">
        <color rgb="FFC9D9EC"/>
      </right>
      <top/>
      <bottom style="thin">
        <color rgb="FFC9D9EC"/>
      </bottom>
      <diagonal/>
    </border>
    <border>
      <left style="thin">
        <color rgb="FFC9D9EC"/>
      </left>
      <right style="thin">
        <color rgb="FFC9D9EC"/>
      </right>
      <top/>
      <bottom style="thin">
        <color rgb="FFC9D9EC"/>
      </bottom>
      <diagonal/>
    </border>
    <border>
      <left style="thin">
        <color rgb="FFC9D9EC"/>
      </left>
      <right/>
      <top/>
      <bottom style="thin">
        <color rgb="FFC9D9EC"/>
      </bottom>
      <diagonal/>
    </border>
    <border>
      <left/>
      <right style="thin">
        <color rgb="FFC9D9EC"/>
      </right>
      <top style="thin">
        <color rgb="FFC9D9EC"/>
      </top>
      <bottom/>
      <diagonal/>
    </border>
    <border>
      <left style="thin">
        <color rgb="FFC9D9EC"/>
      </left>
      <right style="thin">
        <color rgb="FFC9D9EC"/>
      </right>
      <top style="thin">
        <color rgb="FFC9D9EC"/>
      </top>
      <bottom/>
      <diagonal/>
    </border>
    <border>
      <left style="thin">
        <color rgb="FFC9D9EC"/>
      </left>
      <right/>
      <top style="thin">
        <color rgb="FFC9D9EC"/>
      </top>
      <bottom/>
      <diagonal/>
    </border>
    <border>
      <left style="thin">
        <color rgb="FFC9D9EC"/>
      </left>
      <right/>
      <top/>
      <bottom/>
      <diagonal/>
    </border>
  </borders>
  <cellStyleXfs count="1">
    <xf numFmtId="0" fontId="0" fillId="0" borderId="0"/>
  </cellStyleXfs>
  <cellXfs count="62">
    <xf numFmtId="0" fontId="0" fillId="0" borderId="0" xfId="0"/>
    <xf numFmtId="0" fontId="8" fillId="5" borderId="1" xfId="0" applyFont="1" applyFill="1" applyBorder="1" applyAlignment="1">
      <alignment horizontal="left" vertical="center"/>
    </xf>
    <xf numFmtId="0" fontId="9" fillId="9" borderId="1" xfId="0" applyFont="1" applyFill="1" applyBorder="1" applyAlignment="1">
      <alignment horizontal="left" vertical="center"/>
    </xf>
    <xf numFmtId="0" fontId="9" fillId="11" borderId="1" xfId="0" applyFont="1" applyFill="1" applyBorder="1" applyAlignment="1">
      <alignment horizontal="center" vertical="center" wrapText="1"/>
    </xf>
    <xf numFmtId="165" fontId="9" fillId="11" borderId="1" xfId="0" applyNumberFormat="1" applyFont="1" applyFill="1" applyBorder="1" applyAlignment="1">
      <alignment horizontal="left" vertical="center"/>
    </xf>
    <xf numFmtId="0" fontId="9" fillId="11" borderId="1" xfId="0" applyFont="1" applyFill="1" applyBorder="1" applyAlignment="1">
      <alignment horizontal="left" vertical="center"/>
    </xf>
    <xf numFmtId="164" fontId="9" fillId="11" borderId="1" xfId="0" applyNumberFormat="1" applyFont="1" applyFill="1" applyBorder="1" applyAlignment="1">
      <alignment horizontal="right" vertical="center"/>
    </xf>
    <xf numFmtId="0" fontId="9" fillId="9" borderId="1" xfId="0" applyFont="1" applyFill="1" applyBorder="1" applyAlignment="1">
      <alignment horizontal="center" vertical="center" wrapText="1"/>
    </xf>
    <xf numFmtId="165" fontId="9" fillId="9" borderId="1" xfId="0" applyNumberFormat="1" applyFont="1" applyFill="1" applyBorder="1" applyAlignment="1">
      <alignment horizontal="left" vertical="center"/>
    </xf>
    <xf numFmtId="164" fontId="9" fillId="9" borderId="1" xfId="0" applyNumberFormat="1" applyFont="1" applyFill="1" applyBorder="1" applyAlignment="1">
      <alignment horizontal="right" vertical="center"/>
    </xf>
    <xf numFmtId="0" fontId="9" fillId="12" borderId="1" xfId="0" applyFont="1" applyFill="1" applyBorder="1" applyAlignment="1">
      <alignment horizontal="left" vertical="center"/>
    </xf>
    <xf numFmtId="164" fontId="9" fillId="12" borderId="1" xfId="0" applyNumberFormat="1" applyFont="1" applyFill="1" applyBorder="1" applyAlignment="1">
      <alignment horizontal="right" vertical="center"/>
    </xf>
    <xf numFmtId="165" fontId="9" fillId="12" borderId="1" xfId="0" applyNumberFormat="1" applyFont="1" applyFill="1" applyBorder="1" applyAlignment="1">
      <alignment horizontal="left" vertical="center"/>
    </xf>
    <xf numFmtId="164" fontId="8" fillId="2" borderId="1" xfId="0" applyNumberFormat="1" applyFont="1" applyFill="1" applyBorder="1" applyAlignment="1">
      <alignment horizontal="right" vertical="center"/>
    </xf>
    <xf numFmtId="0" fontId="9" fillId="8" borderId="1" xfId="0" applyFont="1" applyFill="1" applyBorder="1" applyAlignment="1">
      <alignment horizontal="left" vertical="center"/>
    </xf>
    <xf numFmtId="0" fontId="9" fillId="9" borderId="1" xfId="0" applyFont="1" applyFill="1" applyBorder="1" applyAlignment="1">
      <alignment horizontal="left" vertical="center"/>
    </xf>
    <xf numFmtId="0" fontId="9" fillId="11"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164" fontId="9" fillId="11" borderId="3" xfId="0" applyNumberFormat="1" applyFont="1" applyFill="1" applyBorder="1" applyAlignment="1">
      <alignment horizontal="right" vertical="center"/>
    </xf>
    <xf numFmtId="164" fontId="9" fillId="9" borderId="3" xfId="0" applyNumberFormat="1" applyFont="1" applyFill="1" applyBorder="1" applyAlignment="1">
      <alignment horizontal="right" vertical="center"/>
    </xf>
    <xf numFmtId="164" fontId="9" fillId="12" borderId="3" xfId="0" applyNumberFormat="1" applyFont="1" applyFill="1" applyBorder="1" applyAlignment="1">
      <alignment horizontal="right" vertical="center"/>
    </xf>
    <xf numFmtId="0" fontId="9" fillId="12" borderId="3" xfId="0" applyFont="1" applyFill="1" applyBorder="1" applyAlignment="1">
      <alignment horizontal="left" vertical="center"/>
    </xf>
    <xf numFmtId="0" fontId="11" fillId="10" borderId="4"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6" xfId="0" applyFont="1" applyFill="1" applyBorder="1" applyAlignment="1">
      <alignment horizontal="center" vertical="center" wrapText="1"/>
    </xf>
    <xf numFmtId="0" fontId="9" fillId="9" borderId="7" xfId="0" applyFont="1" applyFill="1" applyBorder="1" applyAlignment="1">
      <alignment horizontal="center" vertical="center" wrapText="1"/>
    </xf>
    <xf numFmtId="165" fontId="9" fillId="9" borderId="8" xfId="0" applyNumberFormat="1" applyFont="1" applyFill="1" applyBorder="1" applyAlignment="1">
      <alignment horizontal="left" vertical="center"/>
    </xf>
    <xf numFmtId="0" fontId="9" fillId="9" borderId="8" xfId="0" applyFont="1" applyFill="1" applyBorder="1" applyAlignment="1">
      <alignment horizontal="left" vertical="center"/>
    </xf>
    <xf numFmtId="164" fontId="9" fillId="9" borderId="8" xfId="0" applyNumberFormat="1" applyFont="1" applyFill="1" applyBorder="1" applyAlignment="1">
      <alignment horizontal="right" vertical="center"/>
    </xf>
    <xf numFmtId="164" fontId="9" fillId="9" borderId="9" xfId="0" applyNumberFormat="1" applyFont="1" applyFill="1" applyBorder="1" applyAlignment="1">
      <alignment horizontal="right" vertical="center"/>
    </xf>
    <xf numFmtId="0" fontId="11" fillId="6" borderId="4" xfId="0" applyFont="1" applyFill="1" applyBorder="1" applyAlignment="1">
      <alignment horizontal="center" vertical="center" wrapText="1"/>
    </xf>
    <xf numFmtId="0" fontId="11" fillId="6" borderId="5"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4" fillId="7" borderId="1" xfId="0" applyFont="1" applyFill="1" applyBorder="1" applyAlignment="1">
      <alignment horizontal="center" vertical="center" wrapText="1"/>
    </xf>
    <xf numFmtId="164" fontId="5" fillId="7" borderId="1" xfId="0" applyNumberFormat="1" applyFont="1" applyFill="1" applyBorder="1" applyAlignment="1">
      <alignment horizontal="center" vertical="center" wrapText="1"/>
    </xf>
    <xf numFmtId="164" fontId="6"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4" borderId="1" xfId="0" applyFont="1" applyFill="1" applyBorder="1" applyAlignment="1">
      <alignment horizontal="left"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 fillId="14" borderId="10" xfId="0" applyFont="1" applyFill="1" applyBorder="1" applyAlignment="1">
      <alignment horizontal="center" vertical="center"/>
    </xf>
    <xf numFmtId="0" fontId="1" fillId="14" borderId="0" xfId="0" applyFont="1" applyFill="1" applyBorder="1" applyAlignment="1">
      <alignment horizontal="center" vertical="center"/>
    </xf>
    <xf numFmtId="0" fontId="2" fillId="15" borderId="0" xfId="0" applyFont="1" applyFill="1" applyBorder="1" applyAlignment="1">
      <alignment horizontal="center" vertical="center" wrapText="1"/>
    </xf>
    <xf numFmtId="0" fontId="12" fillId="13" borderId="10" xfId="0" applyFont="1" applyFill="1" applyBorder="1" applyAlignment="1">
      <alignment horizontal="left" vertical="center" wrapText="1"/>
    </xf>
    <xf numFmtId="0" fontId="12" fillId="13" borderId="0" xfId="0" applyFont="1" applyFill="1" applyBorder="1" applyAlignment="1">
      <alignment horizontal="left" vertical="center" wrapText="1"/>
    </xf>
    <xf numFmtId="0" fontId="8" fillId="3" borderId="1" xfId="0" applyFont="1" applyFill="1" applyBorder="1" applyAlignment="1">
      <alignment horizontal="left" vertical="center" wrapText="1"/>
    </xf>
    <xf numFmtId="0" fontId="0" fillId="16" borderId="0" xfId="0" applyFill="1"/>
    <xf numFmtId="167" fontId="0" fillId="0" borderId="0" xfId="0" applyNumberFormat="1"/>
  </cellXfs>
  <cellStyles count="1">
    <cellStyle name="Normal" xfId="0" builtinId="0"/>
  </cellStyles>
  <dxfs count="36">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9D9EC"/>
        </left>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numFmt numFmtId="164" formatCode="\$#,##0.00"/>
      <fill>
        <patternFill patternType="solid">
          <fgColor rgb="FFF9F9F9"/>
          <bgColor rgb="FFFFFFFF"/>
        </patternFill>
      </fill>
      <alignment horizontal="righ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center" vertical="center" textRotation="0" wrapText="1" indent="0" justifyLastLine="0" shrinkToFit="0" readingOrder="0"/>
      <border diagonalUp="0" diagonalDown="0">
        <left/>
        <right style="thin">
          <color rgb="FFC9D9EC"/>
        </right>
        <top style="thin">
          <color rgb="FFC9D9EC"/>
        </top>
        <bottom style="thin">
          <color rgb="FFC9D9EC"/>
        </bottom>
        <vertical/>
        <horizontal/>
      </border>
    </dxf>
    <dxf>
      <border outline="0">
        <top style="thin">
          <color rgb="FFC9D9EC"/>
        </top>
      </border>
    </dxf>
    <dxf>
      <border outline="0">
        <left style="thin">
          <color rgb="FFC9D9EC"/>
        </left>
        <right style="thin">
          <color rgb="FFC9D9EC"/>
        </right>
        <top style="thin">
          <color rgb="FFC9D9EC"/>
        </top>
        <bottom style="thin">
          <color rgb="FFC9D9EC"/>
        </bottom>
      </border>
    </dxf>
    <dxf>
      <border outline="0">
        <bottom style="thin">
          <color rgb="FFC9D9EC"/>
        </bottom>
      </border>
    </dxf>
    <dxf>
      <font>
        <b/>
        <i val="0"/>
        <strike val="0"/>
        <condense val="0"/>
        <extend val="0"/>
        <outline val="0"/>
        <shadow val="0"/>
        <u val="none"/>
        <vertAlign val="baseline"/>
        <sz val="10"/>
        <color rgb="FFFFFFFF"/>
        <name val="Arial"/>
        <scheme val="none"/>
      </font>
      <fill>
        <patternFill patternType="solid">
          <fgColor rgb="FF1F4E79"/>
          <bgColor rgb="FF375623"/>
        </patternFill>
      </fill>
      <alignment horizontal="center" vertical="center" textRotation="0" wrapText="1" indent="0" justifyLastLine="0" shrinkToFit="0" readingOrder="0"/>
      <border diagonalUp="0" diagonalDown="0" outline="0">
        <left style="thin">
          <color rgb="FFC9D9EC"/>
        </left>
        <right style="thin">
          <color rgb="FFC9D9EC"/>
        </right>
        <top/>
        <bottom/>
      </border>
    </dxf>
    <dxf>
      <font>
        <b val="0"/>
        <i val="0"/>
        <strike val="0"/>
        <condense val="0"/>
        <extend val="0"/>
        <outline val="0"/>
        <shadow val="0"/>
        <u val="none"/>
        <vertAlign val="baseline"/>
        <sz val="10"/>
        <color rgb="FF262626"/>
        <name val="Arial"/>
        <scheme val="none"/>
      </font>
      <numFmt numFmtId="164" formatCode="\$#,##0.00"/>
      <fill>
        <patternFill patternType="solid">
          <fgColor rgb="FFF9F9F9"/>
          <bgColor rgb="FFFFFFFF"/>
        </patternFill>
      </fill>
      <alignment horizontal="right" vertical="center" textRotation="0" wrapText="0" indent="0" justifyLastLine="0" shrinkToFit="0" readingOrder="0"/>
      <border diagonalUp="0" diagonalDown="0">
        <left style="thin">
          <color rgb="FFC9D9EC"/>
        </left>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numFmt numFmtId="164" formatCode="\$#,##0.00"/>
      <fill>
        <patternFill patternType="solid">
          <fgColor rgb="FFF9F9F9"/>
          <bgColor rgb="FFFFFFFF"/>
        </patternFill>
      </fill>
      <alignment horizontal="righ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center" vertical="center" textRotation="0" wrapText="1"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numFmt numFmtId="165" formatCode="yyyy\-mm\-dd"/>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center" vertical="center" textRotation="0" wrapText="1" indent="0" justifyLastLine="0" shrinkToFit="0" readingOrder="0"/>
      <border diagonalUp="0" diagonalDown="0">
        <left/>
        <right style="thin">
          <color rgb="FFC9D9EC"/>
        </right>
        <top style="thin">
          <color rgb="FFC9D9EC"/>
        </top>
        <bottom style="thin">
          <color rgb="FFC9D9EC"/>
        </bottom>
        <vertical/>
        <horizontal/>
      </border>
    </dxf>
    <dxf>
      <border outline="0">
        <top style="thin">
          <color rgb="FFC9D9EC"/>
        </top>
      </border>
    </dxf>
    <dxf>
      <border outline="0">
        <left style="thin">
          <color rgb="FFC9D9EC"/>
        </left>
        <right style="thin">
          <color rgb="FFC9D9EC"/>
        </right>
        <top style="thin">
          <color rgb="FFC9D9EC"/>
        </top>
        <bottom style="thin">
          <color rgb="FFC9D9EC"/>
        </bottom>
      </border>
    </dxf>
    <dxf>
      <border outline="0">
        <bottom style="thin">
          <color rgb="FFC9D9EC"/>
        </bottom>
      </border>
    </dxf>
    <dxf>
      <font>
        <b/>
        <i val="0"/>
        <strike val="0"/>
        <condense val="0"/>
        <extend val="0"/>
        <outline val="0"/>
        <shadow val="0"/>
        <u val="none"/>
        <vertAlign val="baseline"/>
        <sz val="10"/>
        <color rgb="FFFFFFFF"/>
        <name val="Arial"/>
        <scheme val="none"/>
      </font>
      <fill>
        <patternFill patternType="solid">
          <fgColor rgb="FF1F4E79"/>
          <bgColor rgb="FF375623"/>
        </patternFill>
      </fill>
      <alignment horizontal="center" vertical="center" textRotation="0" wrapText="1" indent="0" justifyLastLine="0" shrinkToFit="0" readingOrder="0"/>
      <border diagonalUp="0" diagonalDown="0" outline="0">
        <left style="thin">
          <color rgb="FFC9D9EC"/>
        </left>
        <right style="thin">
          <color rgb="FFC9D9EC"/>
        </right>
        <top/>
        <bottom/>
      </border>
    </dxf>
    <dxf>
      <font>
        <b val="0"/>
        <i val="0"/>
        <strike val="0"/>
        <condense val="0"/>
        <extend val="0"/>
        <outline val="0"/>
        <shadow val="0"/>
        <u val="none"/>
        <vertAlign val="baseline"/>
        <sz val="10"/>
        <color rgb="FF262626"/>
        <name val="Arial"/>
        <scheme val="none"/>
      </font>
      <numFmt numFmtId="164" formatCode="\$#,##0.00"/>
      <fill>
        <patternFill patternType="solid">
          <fgColor rgb="FFF9F9F9"/>
          <bgColor rgb="FFFFFFFF"/>
        </patternFill>
      </fill>
      <alignment horizontal="right" vertical="center" textRotation="0" wrapText="0" indent="0" justifyLastLine="0" shrinkToFit="0" readingOrder="0"/>
      <border diagonalUp="0" diagonalDown="0">
        <left style="thin">
          <color rgb="FFC9D9EC"/>
        </left>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numFmt numFmtId="164" formatCode="\$#,##0.00"/>
      <fill>
        <patternFill patternType="solid">
          <fgColor rgb="FFF9F9F9"/>
          <bgColor rgb="FFFFFFFF"/>
        </patternFill>
      </fill>
      <alignment horizontal="righ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numFmt numFmtId="165" formatCode="yyyy\-mm\-dd"/>
      <fill>
        <patternFill patternType="solid">
          <fgColor rgb="FFF9F9F9"/>
          <bgColor rgb="FFFFFFFF"/>
        </patternFill>
      </fill>
      <alignment horizontal="left" vertical="center" textRotation="0" wrapText="0" indent="0" justifyLastLine="0" shrinkToFit="0" readingOrder="0"/>
      <border diagonalUp="0" diagonalDown="0">
        <left style="thin">
          <color rgb="FFC9D9EC"/>
        </left>
        <right style="thin">
          <color rgb="FFC9D9EC"/>
        </right>
        <top style="thin">
          <color rgb="FFC9D9EC"/>
        </top>
        <bottom style="thin">
          <color rgb="FFC9D9EC"/>
        </bottom>
        <vertical/>
        <horizontal/>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center" vertical="center" textRotation="0" wrapText="1" indent="0" justifyLastLine="0" shrinkToFit="0" readingOrder="0"/>
      <border diagonalUp="0" diagonalDown="0">
        <left/>
        <right style="thin">
          <color rgb="FFC9D9EC"/>
        </right>
        <top style="thin">
          <color rgb="FFC9D9EC"/>
        </top>
        <bottom style="thin">
          <color rgb="FFC9D9EC"/>
        </bottom>
        <vertical/>
        <horizontal/>
      </border>
    </dxf>
    <dxf>
      <border outline="0">
        <top style="thin">
          <color rgb="FFC9D9EC"/>
        </top>
      </border>
    </dxf>
    <dxf>
      <border outline="0">
        <left style="thin">
          <color rgb="FFC9D9EC"/>
        </left>
        <right style="thin">
          <color rgb="FFC9D9EC"/>
        </right>
        <top style="thin">
          <color rgb="FFC9D9EC"/>
        </top>
        <bottom style="thin">
          <color rgb="FFC9D9EC"/>
        </bottom>
      </border>
    </dxf>
    <dxf>
      <font>
        <b val="0"/>
        <i val="0"/>
        <strike val="0"/>
        <condense val="0"/>
        <extend val="0"/>
        <outline val="0"/>
        <shadow val="0"/>
        <u val="none"/>
        <vertAlign val="baseline"/>
        <sz val="10"/>
        <color rgb="FF262626"/>
        <name val="Arial"/>
        <scheme val="none"/>
      </font>
      <fill>
        <patternFill patternType="solid">
          <fgColor rgb="FFF9F9F9"/>
          <bgColor rgb="FFFFFFFF"/>
        </patternFill>
      </fill>
      <alignment horizontal="left" vertical="center" textRotation="0" wrapText="0" indent="0" justifyLastLine="0" shrinkToFit="0" readingOrder="0"/>
    </dxf>
    <dxf>
      <border outline="0">
        <bottom style="thin">
          <color rgb="FFC9D9EC"/>
        </bottom>
      </border>
    </dxf>
    <dxf>
      <font>
        <b/>
        <i val="0"/>
        <strike val="0"/>
        <condense val="0"/>
        <extend val="0"/>
        <outline val="0"/>
        <shadow val="0"/>
        <u val="none"/>
        <vertAlign val="baseline"/>
        <sz val="10"/>
        <color rgb="FFFFFFFF"/>
        <name val="Arial"/>
        <scheme val="none"/>
      </font>
      <fill>
        <patternFill patternType="solid">
          <fgColor rgb="FF800000"/>
          <bgColor rgb="FFC00000"/>
        </patternFill>
      </fill>
      <alignment horizontal="center" vertical="center" textRotation="0" wrapText="1" indent="0" justifyLastLine="0" shrinkToFit="0" readingOrder="0"/>
      <border diagonalUp="0" diagonalDown="0" outline="0">
        <left style="thin">
          <color rgb="FFC9D9EC"/>
        </left>
        <right style="thin">
          <color rgb="FFC9D9EC"/>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6064"/>
      <rgbColor rgb="FFD9D9D9"/>
      <rgbColor rgb="FF878787"/>
      <rgbColor rgb="FF397BCA"/>
      <rgbColor rgb="FF7030A0"/>
      <rgbColor rgb="FFFFF2CC"/>
      <rgbColor rgb="FFEBF3FB"/>
      <rgbColor rgb="FF660066"/>
      <rgbColor rgb="FFFF8080"/>
      <rgbColor rgb="FF2E75B6"/>
      <rgbColor rgb="FFC9D9EC"/>
      <rgbColor rgb="FF000080"/>
      <rgbColor rgb="FFFF00FF"/>
      <rgbColor rgb="FFFFFF00"/>
      <rgbColor rgb="FF00FFFF"/>
      <rgbColor rgb="FF800080"/>
      <rgbColor rgb="FF800000"/>
      <rgbColor rgb="FF2E5F99"/>
      <rgbColor rgb="FF0000FF"/>
      <rgbColor rgb="FF00CCFF"/>
      <rgbColor rgb="FFF0F6FF"/>
      <rgbColor rgb="FFF5F5F5"/>
      <rgbColor rgb="FFF9F9F9"/>
      <rgbColor rgb="FF99CCFF"/>
      <rgbColor rgb="FFFF99CC"/>
      <rgbColor rgb="FFCC99FF"/>
      <rgbColor rgb="FFFFE0E0"/>
      <rgbColor rgb="FF4472C4"/>
      <rgbColor rgb="FF33CCCC"/>
      <rgbColor rgb="FF99CC00"/>
      <rgbColor rgb="FFFFCC00"/>
      <rgbColor rgb="FFFF9900"/>
      <rgbColor rgb="FFED7D31"/>
      <rgbColor rgb="FF4A7EBB"/>
      <rgbColor rgb="FF70AD47"/>
      <rgbColor rgb="FF003366"/>
      <rgbColor rgb="FF4F81BD"/>
      <rgbColor rgb="FF003300"/>
      <rgbColor rgb="FF375623"/>
      <rgbColor rgb="FF843C0C"/>
      <rgbColor rgb="FF993366"/>
      <rgbColor rgb="FF1F4E79"/>
      <rgbColor rgb="FF262626"/>
      <rgbColor rgb="00003366"/>
      <rgbColor rgb="00339966"/>
      <rgbColor rgb="00003300"/>
      <rgbColor rgb="00333300"/>
      <rgbColor rgb="00993300"/>
      <rgbColor rgb="00993366"/>
      <rgbColor rgb="00333399"/>
      <rgbColor rgb="00333333"/>
    </indexed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6.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[module-6-business-dashboard.xlsx]Pivot_Region!PivotTable1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Pivot_Region!$A$4:$A$8</c:f>
              <c:strCache>
                <c:ptCount val="4"/>
                <c:pt idx="0">
                  <c:v>East</c:v>
                </c:pt>
                <c:pt idx="1">
                  <c:v>North</c:v>
                </c:pt>
                <c:pt idx="2">
                  <c:v>South</c:v>
                </c:pt>
                <c:pt idx="3">
                  <c:v>West</c:v>
                </c:pt>
              </c:strCache>
            </c:strRef>
          </c:cat>
          <c:val>
            <c:numRef>
              <c:f>Pivot_Region!$B$4:$B$8</c:f>
              <c:numCache>
                <c:formatCode>General</c:formatCode>
                <c:ptCount val="4"/>
                <c:pt idx="0">
                  <c:v>7299.71</c:v>
                </c:pt>
                <c:pt idx="1">
                  <c:v>23519.51</c:v>
                </c:pt>
                <c:pt idx="2">
                  <c:v>12119.62</c:v>
                </c:pt>
                <c:pt idx="3">
                  <c:v>4529.78</c:v>
                </c:pt>
              </c:numCache>
            </c:numRef>
          </c:val>
        </c:ser>
        <c:dLbls>
          <c:showLegendKey val="0"/>
          <c:showVal val="0"/>
          <c:showCatName val="0"/>
          <c:showSerName val="0"/>
          <c:showPercent val="0"/>
          <c:showBubbleSize val="0"/>
        </c:dLbls>
        <c:gapWidth val="219"/>
        <c:overlap val="-27"/>
        <c:axId val="287579688"/>
        <c:axId val="287581648"/>
      </c:barChart>
      <c:catAx>
        <c:axId val="287579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81648"/>
        <c:crosses val="autoZero"/>
        <c:auto val="1"/>
        <c:lblAlgn val="ctr"/>
        <c:lblOffset val="100"/>
        <c:noMultiLvlLbl val="0"/>
      </c:catAx>
      <c:valAx>
        <c:axId val="28758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79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[module-6-business-dashboard.xlsx]Pivot_Product!PivotTable3</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Pivot_Product!$B$3</c:f>
              <c:strCache>
                <c:ptCount val="1"/>
                <c:pt idx="0">
                  <c:v>Total</c:v>
                </c:pt>
              </c:strCache>
            </c:strRef>
          </c:tx>
          <c:spPr>
            <a:solidFill>
              <a:schemeClr val="accent1"/>
            </a:solidFill>
            <a:ln>
              <a:noFill/>
            </a:ln>
            <a:effectLst/>
          </c:spPr>
          <c:invertIfNegative val="0"/>
          <c:cat>
            <c:strRef>
              <c:f>Pivot_Product!$A$4:$A$16</c:f>
              <c:strCache>
                <c:ptCount val="12"/>
                <c:pt idx="0">
                  <c:v>Bookshelf</c:v>
                </c:pt>
                <c:pt idx="1">
                  <c:v>Headphones</c:v>
                </c:pt>
                <c:pt idx="2">
                  <c:v>Laptop Pro</c:v>
                </c:pt>
                <c:pt idx="3">
                  <c:v>Monitor 27in</c:v>
                </c:pt>
                <c:pt idx="4">
                  <c:v>Notebook Set</c:v>
                </c:pt>
                <c:pt idx="5">
                  <c:v>Office Chair</c:v>
                </c:pt>
                <c:pt idx="6">
                  <c:v>Pen Pack</c:v>
                </c:pt>
                <c:pt idx="7">
                  <c:v>Standing Desk</c:v>
                </c:pt>
                <c:pt idx="8">
                  <c:v>Tablet Pro</c:v>
                </c:pt>
                <c:pt idx="9">
                  <c:v>USB-C Hub</c:v>
                </c:pt>
                <c:pt idx="10">
                  <c:v>Webcam HD</c:v>
                </c:pt>
                <c:pt idx="11">
                  <c:v>Wireless Mouse</c:v>
                </c:pt>
              </c:strCache>
            </c:strRef>
          </c:cat>
          <c:val>
            <c:numRef>
              <c:f>Pivot_Product!$B$4:$B$16</c:f>
              <c:numCache>
                <c:formatCode>General</c:formatCode>
                <c:ptCount val="12"/>
                <c:pt idx="0">
                  <c:v>3199.84</c:v>
                </c:pt>
                <c:pt idx="1">
                  <c:v>1559.88</c:v>
                </c:pt>
                <c:pt idx="2">
                  <c:v>19499.849999999999</c:v>
                </c:pt>
                <c:pt idx="3">
                  <c:v>2699.94</c:v>
                </c:pt>
                <c:pt idx="4">
                  <c:v>299.85000000000002</c:v>
                </c:pt>
                <c:pt idx="5">
                  <c:v>2449.9299999999998</c:v>
                </c:pt>
                <c:pt idx="6">
                  <c:v>49.95</c:v>
                </c:pt>
                <c:pt idx="7">
                  <c:v>5999.9</c:v>
                </c:pt>
                <c:pt idx="8">
                  <c:v>9999.7999999999993</c:v>
                </c:pt>
                <c:pt idx="9">
                  <c:v>499.9</c:v>
                </c:pt>
                <c:pt idx="10">
                  <c:v>879.89</c:v>
                </c:pt>
                <c:pt idx="11">
                  <c:v>329.89</c:v>
                </c:pt>
              </c:numCache>
            </c:numRef>
          </c:val>
        </c:ser>
        <c:dLbls>
          <c:showLegendKey val="0"/>
          <c:showVal val="0"/>
          <c:showCatName val="0"/>
          <c:showSerName val="0"/>
          <c:showPercent val="0"/>
          <c:showBubbleSize val="0"/>
        </c:dLbls>
        <c:gapWidth val="182"/>
        <c:axId val="287616928"/>
        <c:axId val="287625160"/>
      </c:barChart>
      <c:catAx>
        <c:axId val="28761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25160"/>
        <c:crosses val="autoZero"/>
        <c:auto val="1"/>
        <c:lblAlgn val="ctr"/>
        <c:lblOffset val="100"/>
        <c:noMultiLvlLbl val="0"/>
      </c:catAx>
      <c:valAx>
        <c:axId val="287625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16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[module-6-business-dashboard.xlsx]Pivot_Monthly!PivotTable4</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Pivot_Monthly!$B$3</c:f>
              <c:strCache>
                <c:ptCount val="1"/>
                <c:pt idx="0">
                  <c:v>Total</c:v>
                </c:pt>
              </c:strCache>
            </c:strRef>
          </c:tx>
          <c:spPr>
            <a:ln w="28575" cap="rnd">
              <a:solidFill>
                <a:schemeClr val="accent1"/>
              </a:solidFill>
              <a:round/>
            </a:ln>
            <a:effectLst/>
          </c:spPr>
          <c:marker>
            <c:symbol val="none"/>
          </c:marker>
          <c:cat>
            <c:strRef>
              <c:f>Pivot_Monthly!$A$4:$A$50</c:f>
              <c:strCache>
                <c:ptCount val="46"/>
                <c:pt idx="0">
                  <c:v>1/3/2024</c:v>
                </c:pt>
                <c:pt idx="1">
                  <c:v>1/7/2024</c:v>
                </c:pt>
                <c:pt idx="2">
                  <c:v>1/8/2024</c:v>
                </c:pt>
                <c:pt idx="3">
                  <c:v>2/4/2024</c:v>
                </c:pt>
                <c:pt idx="4">
                  <c:v>2/7/2024</c:v>
                </c:pt>
                <c:pt idx="5">
                  <c:v>2/15/2024</c:v>
                </c:pt>
                <c:pt idx="6">
                  <c:v>2/23/2024</c:v>
                </c:pt>
                <c:pt idx="7">
                  <c:v>3/3/2024</c:v>
                </c:pt>
                <c:pt idx="8">
                  <c:v>3/7/2024</c:v>
                </c:pt>
                <c:pt idx="9">
                  <c:v>3/24/2024</c:v>
                </c:pt>
                <c:pt idx="10">
                  <c:v>3/25/2024</c:v>
                </c:pt>
                <c:pt idx="11">
                  <c:v>4/12/2024</c:v>
                </c:pt>
                <c:pt idx="12">
                  <c:v>4/13/2024</c:v>
                </c:pt>
                <c:pt idx="13">
                  <c:v>4/15/2024</c:v>
                </c:pt>
                <c:pt idx="14">
                  <c:v>4/20/2024</c:v>
                </c:pt>
                <c:pt idx="15">
                  <c:v>5/13/2024</c:v>
                </c:pt>
                <c:pt idx="16">
                  <c:v>5/21/2024</c:v>
                </c:pt>
                <c:pt idx="17">
                  <c:v>5/23/2024</c:v>
                </c:pt>
                <c:pt idx="18">
                  <c:v>5/27/2024</c:v>
                </c:pt>
                <c:pt idx="19">
                  <c:v>6/5/2024</c:v>
                </c:pt>
                <c:pt idx="20">
                  <c:v>6/8/2024</c:v>
                </c:pt>
                <c:pt idx="21">
                  <c:v>6/14/2024</c:v>
                </c:pt>
                <c:pt idx="22">
                  <c:v>6/28/2024</c:v>
                </c:pt>
                <c:pt idx="23">
                  <c:v>7/10/2024</c:v>
                </c:pt>
                <c:pt idx="24">
                  <c:v>7/15/2024</c:v>
                </c:pt>
                <c:pt idx="25">
                  <c:v>7/20/2024</c:v>
                </c:pt>
                <c:pt idx="26">
                  <c:v>7/22/2024</c:v>
                </c:pt>
                <c:pt idx="27">
                  <c:v>8/4/2024</c:v>
                </c:pt>
                <c:pt idx="28">
                  <c:v>8/11/2024</c:v>
                </c:pt>
                <c:pt idx="29">
                  <c:v>8/12/2024</c:v>
                </c:pt>
                <c:pt idx="30">
                  <c:v>8/24/2024</c:v>
                </c:pt>
                <c:pt idx="31">
                  <c:v>9/18/2024</c:v>
                </c:pt>
                <c:pt idx="32">
                  <c:v>9/19/2024</c:v>
                </c:pt>
                <c:pt idx="33">
                  <c:v>9/25/2024</c:v>
                </c:pt>
                <c:pt idx="34">
                  <c:v>9/27/2024</c:v>
                </c:pt>
                <c:pt idx="35">
                  <c:v>10/11/2024</c:v>
                </c:pt>
                <c:pt idx="36">
                  <c:v>10/15/2024</c:v>
                </c:pt>
                <c:pt idx="37">
                  <c:v>10/18/2024</c:v>
                </c:pt>
                <c:pt idx="38">
                  <c:v>10/22/2024</c:v>
                </c:pt>
                <c:pt idx="39">
                  <c:v>11/3/2024</c:v>
                </c:pt>
                <c:pt idx="40">
                  <c:v>11/5/2024</c:v>
                </c:pt>
                <c:pt idx="41">
                  <c:v>11/8/2024</c:v>
                </c:pt>
                <c:pt idx="42">
                  <c:v>12/4/2024</c:v>
                </c:pt>
                <c:pt idx="43">
                  <c:v>12/13/2024</c:v>
                </c:pt>
                <c:pt idx="44">
                  <c:v>12/14/2024</c:v>
                </c:pt>
                <c:pt idx="45">
                  <c:v>12/26/2024</c:v>
                </c:pt>
              </c:strCache>
            </c:strRef>
          </c:cat>
          <c:val>
            <c:numRef>
              <c:f>Pivot_Monthly!$B$4:$B$50</c:f>
              <c:numCache>
                <c:formatCode>General</c:formatCode>
                <c:ptCount val="46"/>
                <c:pt idx="0">
                  <c:v>3009.94</c:v>
                </c:pt>
                <c:pt idx="1">
                  <c:v>2999.95</c:v>
                </c:pt>
                <c:pt idx="2">
                  <c:v>599.97</c:v>
                </c:pt>
                <c:pt idx="3">
                  <c:v>199.96</c:v>
                </c:pt>
                <c:pt idx="4">
                  <c:v>899.98</c:v>
                </c:pt>
                <c:pt idx="5">
                  <c:v>999.98</c:v>
                </c:pt>
                <c:pt idx="6">
                  <c:v>19.98</c:v>
                </c:pt>
                <c:pt idx="7">
                  <c:v>319.95999999999998</c:v>
                </c:pt>
                <c:pt idx="8">
                  <c:v>649.95000000000005</c:v>
                </c:pt>
                <c:pt idx="9">
                  <c:v>49.99</c:v>
                </c:pt>
                <c:pt idx="10">
                  <c:v>999.98</c:v>
                </c:pt>
                <c:pt idx="11">
                  <c:v>39.979999999999997</c:v>
                </c:pt>
                <c:pt idx="12">
                  <c:v>19.989999999999998</c:v>
                </c:pt>
                <c:pt idx="13">
                  <c:v>399.98</c:v>
                </c:pt>
                <c:pt idx="14">
                  <c:v>49.99</c:v>
                </c:pt>
                <c:pt idx="15">
                  <c:v>3899.97</c:v>
                </c:pt>
                <c:pt idx="16">
                  <c:v>199.96</c:v>
                </c:pt>
                <c:pt idx="17">
                  <c:v>99.95</c:v>
                </c:pt>
                <c:pt idx="18">
                  <c:v>1349.97</c:v>
                </c:pt>
                <c:pt idx="19">
                  <c:v>19.98</c:v>
                </c:pt>
                <c:pt idx="20">
                  <c:v>159.97999999999999</c:v>
                </c:pt>
                <c:pt idx="21">
                  <c:v>2499.9499999999998</c:v>
                </c:pt>
                <c:pt idx="22">
                  <c:v>129.99</c:v>
                </c:pt>
                <c:pt idx="23">
                  <c:v>129.99</c:v>
                </c:pt>
                <c:pt idx="24">
                  <c:v>149.94999999999999</c:v>
                </c:pt>
                <c:pt idx="25">
                  <c:v>119.96</c:v>
                </c:pt>
                <c:pt idx="26">
                  <c:v>129.99</c:v>
                </c:pt>
                <c:pt idx="27">
                  <c:v>2499.9499999999998</c:v>
                </c:pt>
                <c:pt idx="28">
                  <c:v>1749.95</c:v>
                </c:pt>
                <c:pt idx="29">
                  <c:v>399.98</c:v>
                </c:pt>
                <c:pt idx="30">
                  <c:v>449.99</c:v>
                </c:pt>
                <c:pt idx="31">
                  <c:v>519.96</c:v>
                </c:pt>
                <c:pt idx="32">
                  <c:v>39.979999999999997</c:v>
                </c:pt>
                <c:pt idx="33">
                  <c:v>29.99</c:v>
                </c:pt>
                <c:pt idx="34">
                  <c:v>239.97</c:v>
                </c:pt>
                <c:pt idx="35">
                  <c:v>29.99</c:v>
                </c:pt>
                <c:pt idx="36">
                  <c:v>999.95</c:v>
                </c:pt>
                <c:pt idx="37">
                  <c:v>699.98</c:v>
                </c:pt>
                <c:pt idx="38">
                  <c:v>1999.96</c:v>
                </c:pt>
                <c:pt idx="39">
                  <c:v>2599.98</c:v>
                </c:pt>
                <c:pt idx="40">
                  <c:v>99.95</c:v>
                </c:pt>
                <c:pt idx="41">
                  <c:v>12999.9</c:v>
                </c:pt>
                <c:pt idx="42">
                  <c:v>79.989999999999995</c:v>
                </c:pt>
                <c:pt idx="43">
                  <c:v>79.989999999999995</c:v>
                </c:pt>
                <c:pt idx="44">
                  <c:v>799.96</c:v>
                </c:pt>
                <c:pt idx="45">
                  <c:v>999.98</c:v>
                </c:pt>
              </c:numCache>
            </c:numRef>
          </c:val>
          <c:smooth val="0"/>
        </c:ser>
        <c:dLbls>
          <c:showLegendKey val="0"/>
          <c:showVal val="0"/>
          <c:showCatName val="0"/>
          <c:showSerName val="0"/>
          <c:showPercent val="0"/>
          <c:showBubbleSize val="0"/>
        </c:dLbls>
        <c:smooth val="0"/>
        <c:axId val="287587920"/>
        <c:axId val="287588312"/>
      </c:lineChart>
      <c:catAx>
        <c:axId val="28758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88312"/>
        <c:crosses val="autoZero"/>
        <c:auto val="1"/>
        <c:lblAlgn val="ctr"/>
        <c:lblOffset val="100"/>
        <c:noMultiLvlLbl val="0"/>
      </c:catAx>
      <c:valAx>
        <c:axId val="287588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87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281940</xdr:rowOff>
    </xdr:from>
    <xdr:to>
      <xdr:col>5</xdr:col>
      <xdr:colOff>601980</xdr:colOff>
      <xdr:row>21</xdr:row>
      <xdr:rowOff>60960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xdr:row>
      <xdr:rowOff>0</xdr:rowOff>
    </xdr:from>
    <xdr:to>
      <xdr:col>11</xdr:col>
      <xdr:colOff>586740</xdr:colOff>
      <xdr:row>21</xdr:row>
      <xdr:rowOff>53340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7620</xdr:rowOff>
    </xdr:from>
    <xdr:to>
      <xdr:col>19</xdr:col>
      <xdr:colOff>586740</xdr:colOff>
      <xdr:row>21</xdr:row>
      <xdr:rowOff>38100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2</xdr:row>
      <xdr:rowOff>0</xdr:rowOff>
    </xdr:from>
    <xdr:to>
      <xdr:col>17</xdr:col>
      <xdr:colOff>144780</xdr:colOff>
      <xdr:row>4</xdr:row>
      <xdr:rowOff>441960</xdr:rowOff>
    </xdr:to>
    <mc:AlternateContent xmlns:mc="http://schemas.openxmlformats.org/markup-compatibility/2006">
      <mc:Choice xmlns:tsle="http://schemas.microsoft.com/office/drawing/2012/timeslicer" Requires="tsle">
        <xdr:graphicFrame macro="">
          <xdr:nvGraphicFramePr>
            <xdr:cNvPr id="12" name="Order Date 1"/>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7406640" y="1005840"/>
              <a:ext cx="3162300" cy="990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175260</xdr:colOff>
      <xdr:row>2</xdr:row>
      <xdr:rowOff>15241</xdr:rowOff>
    </xdr:from>
    <xdr:to>
      <xdr:col>20</xdr:col>
      <xdr:colOff>228600</xdr:colOff>
      <xdr:row>4</xdr:row>
      <xdr:rowOff>434340</xdr:rowOff>
    </xdr:to>
    <mc:AlternateContent xmlns:mc="http://schemas.openxmlformats.org/markup-compatibility/2006">
      <mc:Choice xmlns:a14="http://schemas.microsoft.com/office/drawing/2010/main" Requires="a14">
        <xdr:graphicFrame macro="">
          <xdr:nvGraphicFramePr>
            <xdr:cNvPr id="1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599420" y="1021081"/>
              <a:ext cx="183642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243840</xdr:colOff>
      <xdr:row>2</xdr:row>
      <xdr:rowOff>22861</xdr:rowOff>
    </xdr:from>
    <xdr:to>
      <xdr:col>23</xdr:col>
      <xdr:colOff>160020</xdr:colOff>
      <xdr:row>4</xdr:row>
      <xdr:rowOff>403860</xdr:rowOff>
    </xdr:to>
    <mc:AlternateContent xmlns:mc="http://schemas.openxmlformats.org/markup-compatibility/2006">
      <mc:Choice xmlns:a14="http://schemas.microsoft.com/office/drawing/2010/main" Requires="a14">
        <xdr:graphicFrame macro="">
          <xdr:nvGraphicFramePr>
            <xdr:cNvPr id="1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451080" y="1028701"/>
              <a:ext cx="169926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5</xdr:row>
      <xdr:rowOff>0</xdr:rowOff>
    </xdr:from>
    <xdr:to>
      <xdr:col>23</xdr:col>
      <xdr:colOff>160020</xdr:colOff>
      <xdr:row>21</xdr:row>
      <xdr:rowOff>30480</xdr:rowOff>
    </xdr:to>
    <mc:AlternateContent xmlns:mc="http://schemas.openxmlformats.org/markup-compatibility/2006">
      <mc:Choice xmlns:a14="http://schemas.microsoft.com/office/drawing/2010/main" Requires="a14">
        <xdr:graphicFrame macro="">
          <xdr:nvGraphicFramePr>
            <xdr:cNvPr id="15"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207240" y="2011680"/>
              <a:ext cx="1943100" cy="3078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PC" refreshedDate="46173.884413078704" backgroundQuery="1" createdVersion="5" refreshedVersion="5" minRefreshableVersion="3" recordCount="0" supportSubquery="1" supportAdvancedDrill="1">
  <cacheSource type="external" connectionId="3"/>
  <cacheFields count="5">
    <cacheField name="[Measures].[Sum of Sales Amount ($)]" caption="Sum of Sales Amount ($)" numFmtId="0" hierarchy="14" level="32767"/>
    <cacheField name="[Table2].[Order Date].[Order Date]" caption="Order Date" numFmtId="0" hierarchy="1" level="1">
      <sharedItems containsSemiMixedTypes="0" containsNonDate="0" containsDate="1" containsString="0" minDate="2024-01-03T00:00:00" maxDate="2024-12-27T00:00:00" count="46">
        <d v="2024-01-03T00:00:00"/>
        <d v="2024-01-07T00:00:00"/>
        <d v="2024-01-08T00:00:00"/>
        <d v="2024-02-04T00:00:00"/>
        <d v="2024-02-07T00:00:00"/>
        <d v="2024-02-15T00:00:00"/>
        <d v="2024-02-23T00:00:00"/>
        <d v="2024-03-03T00:00:00"/>
        <d v="2024-03-07T00:00:00"/>
        <d v="2024-03-24T00:00:00"/>
        <d v="2024-03-25T00:00:00"/>
        <d v="2024-04-12T00:00:00"/>
        <d v="2024-04-13T00:00:00"/>
        <d v="2024-04-15T00:00:00"/>
        <d v="2024-04-20T00:00:00"/>
        <d v="2024-05-13T00:00:00"/>
        <d v="2024-05-21T00:00:00"/>
        <d v="2024-05-23T00:00:00"/>
        <d v="2024-05-27T00:00:00"/>
        <d v="2024-06-05T00:00:00"/>
        <d v="2024-06-08T00:00:00"/>
        <d v="2024-06-14T00:00:00"/>
        <d v="2024-06-28T00:00:00"/>
        <d v="2024-07-10T00:00:00"/>
        <d v="2024-07-15T00:00:00"/>
        <d v="2024-07-20T00:00:00"/>
        <d v="2024-07-22T00:00:00"/>
        <d v="2024-08-04T00:00:00"/>
        <d v="2024-08-11T00:00:00"/>
        <d v="2024-08-12T00:00:00"/>
        <d v="2024-08-24T00:00:00"/>
        <d v="2024-09-18T00:00:00"/>
        <d v="2024-09-19T00:00:00"/>
        <d v="2024-09-25T00:00:00"/>
        <d v="2024-09-27T00:00:00"/>
        <d v="2024-10-11T00:00:00"/>
        <d v="2024-10-15T00:00:00"/>
        <d v="2024-10-18T00:00:00"/>
        <d v="2024-10-22T00:00:00"/>
        <d v="2024-11-03T00:00:00"/>
        <d v="2024-11-05T00:00:00"/>
        <d v="2024-11-08T00:00:00"/>
        <d v="2024-12-04T00:00:00"/>
        <d v="2024-12-13T00:00:00"/>
        <d v="2024-12-14T00:00:00"/>
        <d v="2024-12-26T00:00:00"/>
      </sharedItems>
    </cacheField>
    <cacheField name="[Table2].[Category].[Category]" caption="Category" numFmtId="0" hierarchy="5" level="1">
      <sharedItems containsSemiMixedTypes="0" containsNonDate="0" containsString="0"/>
    </cacheField>
    <cacheField name="[Table2].[Region].[Region]" caption="Region" numFmtId="0" hierarchy="2" level="1">
      <sharedItems containsSemiMixedTypes="0" containsNonDate="0" containsString="0"/>
    </cacheField>
    <cacheField name="[Table2].[Product].[Product]" caption="Product" numFmtId="0" hierarchy="4" level="1">
      <sharedItems containsSemiMixedTypes="0" containsNonDate="0" containsString="0"/>
    </cacheField>
  </cacheFields>
  <cacheHierarchies count="21">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2" memberValueDatatype="7" unbalanced="0">
      <fieldsUsage count="2">
        <fieldUsage x="-1"/>
        <fieldUsage x="1"/>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3"/>
      </fieldsUsage>
    </cacheHierarchy>
    <cacheHierarchy uniqueName="[Table2].[Customer Name]" caption="Customer Name" attribute="1" defaultMemberUniqueName="[Table2].[Customer Name].[All]" allUniqueName="[Table2].[Customer Name].[All]" dimensionUniqueName="[Table2]" displayFolder="" count="0" memberValueDatatype="130" unbalanced="0"/>
    <cacheHierarchy uniqueName="[Table2].[Product]" caption="Product" attribute="1" defaultMemberUniqueName="[Table2].[Product].[All]" allUniqueName="[Table2].[Product].[All]" dimensionUniqueName="[Table2]" displayFolder="" count="2" memberValueDatatype="130" unbalanced="0">
      <fieldsUsage count="2">
        <fieldUsage x="-1"/>
        <fieldUsage x="4"/>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uantity]" caption="Quantity" attribute="1" defaultMemberUniqueName="[Table2].[Quantity].[All]" allUniqueName="[Table2].[Quantity].[All]" dimensionUniqueName="[Table2]" displayFolder="" count="0" memberValueDatatype="20" unbalanced="0"/>
    <cacheHierarchy uniqueName="[Table2].[Unit Price ($)]" caption="Unit Price ($)" attribute="1" defaultMemberUniqueName="[Table2].[Unit Price ($)].[All]" allUniqueName="[Table2].[Unit Price ($)].[All]" dimensionUniqueName="[Table2]" displayFolder="" count="0" memberValueDatatype="5" unbalanced="0"/>
    <cacheHierarchy uniqueName="[Table2].[Sales Amount ($)]" caption="Sales Amount ($)" attribute="1" defaultMemberUniqueName="[Table2].[Sales Amount ($)].[All]" allUniqueName="[Table2].[Sales Amount ($)].[All]" dimensionUniqueName="[Table2]" displayFolder="" count="0" memberValueDatatype="5" unbalanced="0"/>
    <cacheHierarchy uniqueName="[Table3].[Product ID]" caption="Product ID" attribute="1" defaultMemberUniqueName="[Table3].[Product ID].[All]" allUniqueName="[Table3].[Product ID].[All]" dimensionUniqueName="[Table3]" displayFolder="" count="0"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 Price ($)]" caption="Unit Price ($)" attribute="1" defaultMemberUniqueName="[Table3].[Unit Price ($)].[All]" allUniqueName="[Table3].[Unit Price ($)].[All]" dimensionUniqueName="[Table3]" displayFolder="" count="0" memberValueDatatype="5" unbalanced="0"/>
    <cacheHierarchy uniqueName="[Table3].[In Stock]" caption="In Stock" attribute="1" defaultMemberUniqueName="[Table3].[In Stock].[All]" allUniqueName="[Table3].[In Stock].[All]" dimensionUniqueName="[Table3]" displayFolder="" count="0" memberValueDatatype="130" unbalanced="0"/>
    <cacheHierarchy uniqueName="[Measures].[Sum of Sales Amount ($)]" caption="Sum of Sales Amount ($)" measure="1" displayFolder="" measureGroup="Table2" count="0" oneField="1">
      <fieldsUsage count="1">
        <fieldUsage x="0"/>
      </fieldsUsage>
      <extLst>
        <ext xmlns:x15="http://schemas.microsoft.com/office/spreadsheetml/2010/11/main" uri="{B97F6D7D-B522-45F9-BDA1-12C45D357490}">
          <x15:cacheHierarchy aggregatedColumn="8"/>
        </ext>
      </extLst>
    </cacheHierarchy>
    <cacheHierarchy uniqueName="[Measures].[Total Sales 1]" caption="Total Sales 1" measure="1" displayFolder="" measureGroup="Table2" count="0"/>
    <cacheHierarchy uniqueName="[Measures].[Total Quantity Sold]" caption="Total Quantity Sold" measure="1" displayFolder="" measureGroup="Table2" count="0"/>
    <cacheHierarchy uniqueName="[Measures].[Average Sales per Order]" caption="Average Sales per Order"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3">
    <dimension measure="1" name="Measures" uniqueName="[Measures]" caption="Measures"/>
    <dimension name="Table2" uniqueName="[Table2]" caption="Table2"/>
    <dimension name="Table3" uniqueName="[Table3]" caption="Table3"/>
  </dimensions>
  <measureGroups count="2">
    <measureGroup name="Table2" caption="Table2"/>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PC" refreshedDate="46173.88441770833" backgroundQuery="1" createdVersion="5" refreshedVersion="5" minRefreshableVersion="3" recordCount="0" supportSubquery="1" supportAdvancedDrill="1">
  <cacheSource type="external" connectionId="3"/>
  <cacheFields count="4">
    <cacheField name="[Table2].[Product].[Product]" caption="Product" numFmtId="0" hierarchy="4" level="1">
      <sharedItems count="12">
        <s v="Bookshelf"/>
        <s v="Headphones"/>
        <s v="Laptop Pro"/>
        <s v="Monitor 27in"/>
        <s v="Notebook Set"/>
        <s v="Office Chair"/>
        <s v="Pen Pack"/>
        <s v="Standing Desk"/>
        <s v="Tablet Pro"/>
        <s v="USB-C Hub"/>
        <s v="Webcam HD"/>
        <s v="Wireless Mouse"/>
      </sharedItems>
    </cacheField>
    <cacheField name="[Measures].[Sum of Sales Amount ($)]" caption="Sum of Sales Amount ($)" numFmtId="0" hierarchy="14" level="32767"/>
    <cacheField name="[Table2].[Category].[Category]" caption="Category" numFmtId="0" hierarchy="5" level="1">
      <sharedItems containsSemiMixedTypes="0" containsNonDate="0" containsString="0"/>
    </cacheField>
    <cacheField name="[Table2].[Region].[Region]" caption="Region" numFmtId="0" hierarchy="2" level="1">
      <sharedItems containsSemiMixedTypes="0" containsNonDate="0" containsString="0"/>
    </cacheField>
  </cacheFields>
  <cacheHierarchies count="21">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2" memberValueDatatype="7" unbalanced="0"/>
    <cacheHierarchy uniqueName="[Table2].[Region]" caption="Region" attribute="1" defaultMemberUniqueName="[Table2].[Region].[All]" allUniqueName="[Table2].[Region].[All]" dimensionUniqueName="[Table2]" displayFolder="" count="2" memberValueDatatype="130" unbalanced="0">
      <fieldsUsage count="2">
        <fieldUsage x="-1"/>
        <fieldUsage x="3"/>
      </fieldsUsage>
    </cacheHierarchy>
    <cacheHierarchy uniqueName="[Table2].[Customer Name]" caption="Customer Name" attribute="1" defaultMemberUniqueName="[Table2].[Customer Name].[All]" allUniqueName="[Table2].[Customer Name].[All]" dimensionUniqueName="[Table2]" displayFolder="" count="0" memberValueDatatype="130" unbalanced="0"/>
    <cacheHierarchy uniqueName="[Table2].[Product]" caption="Product" attribute="1" defaultMemberUniqueName="[Table2].[Product].[All]" allUniqueName="[Table2].[Product].[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uantity]" caption="Quantity" attribute="1" defaultMemberUniqueName="[Table2].[Quantity].[All]" allUniqueName="[Table2].[Quantity].[All]" dimensionUniqueName="[Table2]" displayFolder="" count="0" memberValueDatatype="20" unbalanced="0"/>
    <cacheHierarchy uniqueName="[Table2].[Unit Price ($)]" caption="Unit Price ($)" attribute="1" defaultMemberUniqueName="[Table2].[Unit Price ($)].[All]" allUniqueName="[Table2].[Unit Price ($)].[All]" dimensionUniqueName="[Table2]" displayFolder="" count="0" memberValueDatatype="5" unbalanced="0"/>
    <cacheHierarchy uniqueName="[Table2].[Sales Amount ($)]" caption="Sales Amount ($)" attribute="1" defaultMemberUniqueName="[Table2].[Sales Amount ($)].[All]" allUniqueName="[Table2].[Sales Amount ($)].[All]" dimensionUniqueName="[Table2]" displayFolder="" count="0" memberValueDatatype="5" unbalanced="0"/>
    <cacheHierarchy uniqueName="[Table3].[Product ID]" caption="Product ID" attribute="1" defaultMemberUniqueName="[Table3].[Product ID].[All]" allUniqueName="[Table3].[Product ID].[All]" dimensionUniqueName="[Table3]" displayFolder="" count="0"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 Price ($)]" caption="Unit Price ($)" attribute="1" defaultMemberUniqueName="[Table3].[Unit Price ($)].[All]" allUniqueName="[Table3].[Unit Price ($)].[All]" dimensionUniqueName="[Table3]" displayFolder="" count="0" memberValueDatatype="5" unbalanced="0"/>
    <cacheHierarchy uniqueName="[Table3].[In Stock]" caption="In Stock" attribute="1" defaultMemberUniqueName="[Table3].[In Stock].[All]" allUniqueName="[Table3].[In Stock].[All]" dimensionUniqueName="[Table3]" displayFolder="" count="0" memberValueDatatype="130" unbalanced="0"/>
    <cacheHierarchy uniqueName="[Measures].[Sum of Sales Amount ($)]" caption="Sum of Sales Amount ($)" measure="1" displayFolder="" measureGroup="Table2" count="0" oneField="1">
      <fieldsUsage count="1">
        <fieldUsage x="1"/>
      </fieldsUsage>
      <extLst>
        <ext xmlns:x15="http://schemas.microsoft.com/office/spreadsheetml/2010/11/main" uri="{B97F6D7D-B522-45F9-BDA1-12C45D357490}">
          <x15:cacheHierarchy aggregatedColumn="8"/>
        </ext>
      </extLst>
    </cacheHierarchy>
    <cacheHierarchy uniqueName="[Measures].[Total Sales 1]" caption="Total Sales 1" measure="1" displayFolder="" measureGroup="Table2" count="0"/>
    <cacheHierarchy uniqueName="[Measures].[Total Quantity Sold]" caption="Total Quantity Sold" measure="1" displayFolder="" measureGroup="Table2" count="0"/>
    <cacheHierarchy uniqueName="[Measures].[Average Sales per Order]" caption="Average Sales per Order"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3">
    <dimension measure="1" name="Measures" uniqueName="[Measures]" caption="Measures"/>
    <dimension name="Table2" uniqueName="[Table2]" caption="Table2"/>
    <dimension name="Table3" uniqueName="[Table3]" caption="Table3"/>
  </dimensions>
  <measureGroups count="2">
    <measureGroup name="Table2" caption="Table2"/>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PC" refreshedDate="46173.884422106479" backgroundQuery="1" createdVersion="5" refreshedVersion="5" minRefreshableVersion="3" recordCount="0" supportSubquery="1" supportAdvancedDrill="1">
  <cacheSource type="external" connectionId="3"/>
  <cacheFields count="4">
    <cacheField name="[Table2].[Region].[Region]" caption="Region" numFmtId="0" hierarchy="2" level="1">
      <sharedItems count="4">
        <s v="East"/>
        <s v="North"/>
        <s v="South"/>
        <s v="West"/>
      </sharedItems>
    </cacheField>
    <cacheField name="[Measures].[Sum of Sales Amount ($)]" caption="Sum of Sales Amount ($)" numFmtId="0" hierarchy="14" level="32767"/>
    <cacheField name="[Table2].[Category].[Category]" caption="Category" numFmtId="0" hierarchy="5" level="1">
      <sharedItems containsSemiMixedTypes="0" containsNonDate="0" containsString="0"/>
    </cacheField>
    <cacheField name="[Table2].[Product].[Product]" caption="Product" numFmtId="0" hierarchy="4" level="1">
      <sharedItems containsSemiMixedTypes="0" containsNonDate="0" containsString="0"/>
    </cacheField>
  </cacheFields>
  <cacheHierarchies count="21">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2" memberValueDatatype="7"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Customer Name]" caption="Customer Name" attribute="1" defaultMemberUniqueName="[Table2].[Customer Name].[All]" allUniqueName="[Table2].[Customer Name].[All]" dimensionUniqueName="[Table2]" displayFolder="" count="0" memberValueDatatype="130" unbalanced="0"/>
    <cacheHierarchy uniqueName="[Table2].[Product]" caption="Product" attribute="1" defaultMemberUniqueName="[Table2].[Product].[All]" allUniqueName="[Table2].[Product].[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uantity]" caption="Quantity" attribute="1" defaultMemberUniqueName="[Table2].[Quantity].[All]" allUniqueName="[Table2].[Quantity].[All]" dimensionUniqueName="[Table2]" displayFolder="" count="0" memberValueDatatype="20" unbalanced="0"/>
    <cacheHierarchy uniqueName="[Table2].[Unit Price ($)]" caption="Unit Price ($)" attribute="1" defaultMemberUniqueName="[Table2].[Unit Price ($)].[All]" allUniqueName="[Table2].[Unit Price ($)].[All]" dimensionUniqueName="[Table2]" displayFolder="" count="0" memberValueDatatype="5" unbalanced="0"/>
    <cacheHierarchy uniqueName="[Table2].[Sales Amount ($)]" caption="Sales Amount ($)" attribute="1" defaultMemberUniqueName="[Table2].[Sales Amount ($)].[All]" allUniqueName="[Table2].[Sales Amount ($)].[All]" dimensionUniqueName="[Table2]" displayFolder="" count="0" memberValueDatatype="5" unbalanced="0"/>
    <cacheHierarchy uniqueName="[Table3].[Product ID]" caption="Product ID" attribute="1" defaultMemberUniqueName="[Table3].[Product ID].[All]" allUniqueName="[Table3].[Product ID].[All]" dimensionUniqueName="[Table3]" displayFolder="" count="0"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 Price ($)]" caption="Unit Price ($)" attribute="1" defaultMemberUniqueName="[Table3].[Unit Price ($)].[All]" allUniqueName="[Table3].[Unit Price ($)].[All]" dimensionUniqueName="[Table3]" displayFolder="" count="0" memberValueDatatype="5" unbalanced="0"/>
    <cacheHierarchy uniqueName="[Table3].[In Stock]" caption="In Stock" attribute="1" defaultMemberUniqueName="[Table3].[In Stock].[All]" allUniqueName="[Table3].[In Stock].[All]" dimensionUniqueName="[Table3]" displayFolder="" count="0" memberValueDatatype="130" unbalanced="0"/>
    <cacheHierarchy uniqueName="[Measures].[Sum of Sales Amount ($)]" caption="Sum of Sales Amount ($)" measure="1" displayFolder="" measureGroup="Table2" count="0" oneField="1">
      <fieldsUsage count="1">
        <fieldUsage x="1"/>
      </fieldsUsage>
      <extLst>
        <ext xmlns:x15="http://schemas.microsoft.com/office/spreadsheetml/2010/11/main" uri="{B97F6D7D-B522-45F9-BDA1-12C45D357490}">
          <x15:cacheHierarchy aggregatedColumn="8"/>
        </ext>
      </extLst>
    </cacheHierarchy>
    <cacheHierarchy uniqueName="[Measures].[Total Sales 1]" caption="Total Sales 1" measure="1" displayFolder="" measureGroup="Table2" count="0"/>
    <cacheHierarchy uniqueName="[Measures].[Total Quantity Sold]" caption="Total Quantity Sold" measure="1" displayFolder="" measureGroup="Table2" count="0"/>
    <cacheHierarchy uniqueName="[Measures].[Average Sales per Order]" caption="Average Sales per Order"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3">
    <dimension measure="1" name="Measures" uniqueName="[Measures]" caption="Measures"/>
    <dimension name="Table2" uniqueName="[Table2]" caption="Table2"/>
    <dimension name="Table3" uniqueName="[Table3]" caption="Table3"/>
  </dimensions>
  <measureGroups count="2">
    <measureGroup name="Table2" caption="Table2"/>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PC" refreshedDate="46173.88668171296" backgroundQuery="1" createdVersion="5" refreshedVersion="5" minRefreshableVersion="3" recordCount="0" supportSubquery="1" supportAdvancedDrill="1">
  <cacheSource type="external" connectionId="3"/>
  <cacheFields count="2">
    <cacheField name="[Measures].[Average Sales per Order]" caption="Average Sales per Order" numFmtId="0" hierarchy="17" level="32767"/>
    <cacheField name="[Table2].[Product].[Product]" caption="Product" numFmtId="0" hierarchy="4" level="1">
      <sharedItems count="12">
        <s v="Bookshelf"/>
        <s v="Headphones"/>
        <s v="Laptop Pro"/>
        <s v="Monitor 27in"/>
        <s v="Notebook Set"/>
        <s v="Office Chair"/>
        <s v="Pen Pack"/>
        <s v="Standing Desk"/>
        <s v="Tablet Pro"/>
        <s v="USB-C Hub"/>
        <s v="Webcam HD"/>
        <s v="Wireless Mouse"/>
      </sharedItems>
    </cacheField>
  </cacheFields>
  <cacheHierarchies count="21">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Region]" caption="Region" attribute="1" defaultMemberUniqueName="[Table2].[Region].[All]" allUniqueName="[Table2].[Region].[All]" dimensionUniqueName="[Table2]" displayFolder="" count="2"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Product]" caption="Product" attribute="1" defaultMemberUniqueName="[Table2].[Product].[All]" allUniqueName="[Table2].[Product].[All]" dimensionUniqueName="[Table2]" displayFolder="" count="2" memberValueDatatype="130" unbalanced="0">
      <fieldsUsage count="2">
        <fieldUsage x="-1"/>
        <fieldUsage x="1"/>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 caption="Unit Price ($)" attribute="1" defaultMemberUniqueName="[Table2].[Unit Price ($)].[All]" allUniqueName="[Table2].[Unit Price ($)].[All]" dimensionUniqueName="[Table2]" displayFolder="" count="0" memberValueDatatype="5" unbalanced="0"/>
    <cacheHierarchy uniqueName="[Table2].[Sales Amount ($)]" caption="Sales Amount ($)" attribute="1" defaultMemberUniqueName="[Table2].[Sales Amount ($)].[All]" allUniqueName="[Table2].[Sales Amount ($)].[All]" dimensionUniqueName="[Table2]" displayFolder="" count="0" memberValueDatatype="5" unbalanced="0"/>
    <cacheHierarchy uniqueName="[Table3].[Product ID]" caption="Product ID" attribute="1" defaultMemberUniqueName="[Table3].[Product ID].[All]" allUniqueName="[Table3].[Product ID].[All]" dimensionUniqueName="[Table3]" displayFolder="" count="0"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 Price ($)]" caption="Unit Price ($)" attribute="1" defaultMemberUniqueName="[Table3].[Unit Price ($)].[All]" allUniqueName="[Table3].[Unit Price ($)].[All]" dimensionUniqueName="[Table3]" displayFolder="" count="0" memberValueDatatype="5" unbalanced="0"/>
    <cacheHierarchy uniqueName="[Table3].[In Stock]" caption="In Stock" attribute="1" defaultMemberUniqueName="[Table3].[In Stock].[All]" allUniqueName="[Table3].[In Stock].[All]" dimensionUniqueName="[Table3]" displayFolder="" count="0" memberValueDatatype="130" unbalanced="0"/>
    <cacheHierarchy uniqueName="[Measures].[Sum of Sales Amount ($)]" caption="Sum of Sales Amount ($)" measure="1" displayFolder="" measureGroup="Table2" count="0">
      <extLst>
        <ext xmlns:x15="http://schemas.microsoft.com/office/spreadsheetml/2010/11/main" uri="{B97F6D7D-B522-45F9-BDA1-12C45D357490}">
          <x15:cacheHierarchy aggregatedColumn="8"/>
        </ext>
      </extLst>
    </cacheHierarchy>
    <cacheHierarchy uniqueName="[Measures].[Total Sales 1]" caption="Total Sales 1" measure="1" displayFolder="" measureGroup="Table2" count="0"/>
    <cacheHierarchy uniqueName="[Measures].[Total Quantity Sold]" caption="Total Quantity Sold" measure="1" displayFolder="" measureGroup="Table2" count="0"/>
    <cacheHierarchy uniqueName="[Measures].[Average Sales per Order]" caption="Average Sales per Order" measure="1" displayFolder="" measureGroup="Table2" count="0" oneField="1">
      <fieldsUsage count="1">
        <fieldUsage x="0"/>
      </fieldsUsage>
    </cacheHierarchy>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3">
    <dimension measure="1" name="Measures" uniqueName="[Measures]" caption="Measures"/>
    <dimension name="Table2" uniqueName="[Table2]" caption="Table2"/>
    <dimension name="Table3" uniqueName="[Table3]" caption="Table3"/>
  </dimensions>
  <measureGroups count="2">
    <measureGroup name="Table2" caption="Table2"/>
    <measureGroup name="Table3" caption="Table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PC" refreshedDate="46173.884406018522" backgroundQuery="1" createdVersion="3" refreshedVersion="5"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Region]" caption="Region" attribute="1" defaultMemberUniqueName="[Table2].[Region].[All]" allUniqueName="[Table2].[Region].[All]" dimensionUniqueName="[Table2]" displayFolder="" count="2"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Product]" caption="Product" attribute="1" defaultMemberUniqueName="[Table2].[Product].[All]" allUniqueName="[Table2].[Product].[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 caption="Unit Price ($)" attribute="1" defaultMemberUniqueName="[Table2].[Unit Price ($)].[All]" allUniqueName="[Table2].[Unit Price ($)].[All]" dimensionUniqueName="[Table2]" displayFolder="" count="0" memberValueDatatype="5" unbalanced="0"/>
    <cacheHierarchy uniqueName="[Table2].[Sales Amount ($)]" caption="Sales Amount ($)" attribute="1" defaultMemberUniqueName="[Table2].[Sales Amount ($)].[All]" allUniqueName="[Table2].[Sales Amount ($)].[All]" dimensionUniqueName="[Table2]" displayFolder="" count="0" memberValueDatatype="5" unbalanced="0"/>
    <cacheHierarchy uniqueName="[Table3].[Product ID]" caption="Product ID" attribute="1" defaultMemberUniqueName="[Table3].[Product ID].[All]" allUniqueName="[Table3].[Product ID].[All]" dimensionUniqueName="[Table3]" displayFolder="" count="0"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 Price ($)]" caption="Unit Price ($)" attribute="1" defaultMemberUniqueName="[Table3].[Unit Price ($)].[All]" allUniqueName="[Table3].[Unit Price ($)].[All]" dimensionUniqueName="[Table3]" displayFolder="" count="0" memberValueDatatype="5" unbalanced="0"/>
    <cacheHierarchy uniqueName="[Table3].[In Stock]" caption="In Stock" attribute="1" defaultMemberUniqueName="[Table3].[In Stock].[All]" allUniqueName="[Table3].[In Stock].[All]" dimensionUniqueName="[Table3]" displayFolder="" count="0" memberValueDatatype="130" unbalanced="0"/>
    <cacheHierarchy uniqueName="[Measures].[Sum of Sales Amount ($)]" caption="Sum of Sales Amount ($)" measure="1" displayFolder="" measureGroup="Table2" count="0">
      <extLst>
        <ext xmlns:x15="http://schemas.microsoft.com/office/spreadsheetml/2010/11/main" uri="{B97F6D7D-B522-45F9-BDA1-12C45D357490}">
          <x15:cacheHierarchy aggregatedColumn="8"/>
        </ext>
      </extLst>
    </cacheHierarchy>
    <cacheHierarchy uniqueName="[Measures].[Total Sales 1]" caption="Total Sales 1" measure="1" displayFolder="" measureGroup="Table2" count="0"/>
    <cacheHierarchy uniqueName="[Measures].[Total Quantity Sold]" caption="Total Quantity Sold" measure="1" displayFolder="" measureGroup="Table2" count="0"/>
    <cacheHierarchy uniqueName="[Measures].[Average Sales per Order]" caption="Average Sales per Order"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PC" refreshedDate="46173.884409143517" backgroundQuery="1" createdVersion="3" refreshedVersion="5"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2" memberValueDatatype="7" unbalanced="0"/>
    <cacheHierarchy uniqueName="[Table2].[Region]" caption="Region" attribute="1" defaultMemberUniqueName="[Table2].[Region].[All]" allUniqueName="[Table2].[Region].[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 caption="Unit Price ($)" attribute="1" defaultMemberUniqueName="[Table2].[Unit Price ($)].[All]" allUniqueName="[Table2].[Unit Price ($)].[All]" dimensionUniqueName="[Table2]" displayFolder="" count="0" memberValueDatatype="5" unbalanced="0"/>
    <cacheHierarchy uniqueName="[Table2].[Sales Amount ($)]" caption="Sales Amount ($)" attribute="1" defaultMemberUniqueName="[Table2].[Sales Amount ($)].[All]" allUniqueName="[Table2].[Sales Amount ($)].[All]" dimensionUniqueName="[Table2]" displayFolder="" count="0" memberValueDatatype="5" unbalanced="0"/>
    <cacheHierarchy uniqueName="[Table3].[Product ID]" caption="Product ID" attribute="1" defaultMemberUniqueName="[Table3].[Product ID].[All]" allUniqueName="[Table3].[Product ID].[All]" dimensionUniqueName="[Table3]" displayFolder="" count="0" memberValueDatatype="130" unbalanced="0"/>
    <cacheHierarchy uniqueName="[Table3].[Product Name]" caption="Product Name" attribute="1" defaultMemberUniqueName="[Table3].[Product Name].[All]" allUniqueName="[Table3].[Product 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 Price ($)]" caption="Unit Price ($)" attribute="1" defaultMemberUniqueName="[Table3].[Unit Price ($)].[All]" allUniqueName="[Table3].[Unit Price ($)].[All]" dimensionUniqueName="[Table3]" displayFolder="" count="0" memberValueDatatype="5" unbalanced="0"/>
    <cacheHierarchy uniqueName="[Table3].[In Stock]" caption="In Stock" attribute="1" defaultMemberUniqueName="[Table3].[In Stock].[All]" allUniqueName="[Table3].[In Stock].[All]" dimensionUniqueName="[Table3]" displayFolder="" count="0" memberValueDatatype="130" unbalanced="0"/>
    <cacheHierarchy uniqueName="[Measures].[Sum of Sales Amount ($)]" caption="Sum of Sales Amount ($)" measure="1" displayFolder="" measureGroup="Table2" count="0">
      <extLst>
        <ext xmlns:x15="http://schemas.microsoft.com/office/spreadsheetml/2010/11/main" uri="{B97F6D7D-B522-45F9-BDA1-12C45D357490}">
          <x15:cacheHierarchy aggregatedColumn="8"/>
        </ext>
      </extLst>
    </cacheHierarchy>
    <cacheHierarchy uniqueName="[Measures].[Total Sales 1]" caption="Total Sales 1" measure="1" displayFolder="" measureGroup="Table2" count="0"/>
    <cacheHierarchy uniqueName="[Measures].[Total Quantity Sold]" caption="Total Quantity Sold" measure="1" displayFolder="" measureGroup="Table2" count="0"/>
    <cacheHierarchy uniqueName="[Measures].[Average Sales per Order]" caption="Average Sales per Order"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pivotCacheId="16"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381" applyNumberFormats="0" applyBorderFormats="0" applyFontFormats="0" applyPatternFormats="0" applyAlignmentFormats="0" applyWidthHeightFormats="1" dataCaption="Values" tag="8b5917a1-60e5-4b62-b12c-f9c646fe6304" updatedVersion="5" minRefreshableVersion="3" useAutoFormatting="1" itemPrintTitles="1" createdVersion="5" indent="0" outline="1" outlineData="1" multipleFieldFilters="0">
  <location ref="A3:B16" firstHeaderRow="1" firstDataRow="1" firstDataCol="1"/>
  <pivotFields count="2">
    <pivotField dataField="1" showAll="0"/>
    <pivotField axis="axisRow" allDrilled="1" showAll="0" dataSourceSort="1" defaultAttributeDrillState="1">
      <items count="13">
        <item x="0"/>
        <item x="1"/>
        <item x="2"/>
        <item x="3"/>
        <item x="4"/>
        <item x="5"/>
        <item x="6"/>
        <item x="7"/>
        <item x="8"/>
        <item x="9"/>
        <item x="10"/>
        <item x="11"/>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2">
        <x15:activeTabTopLevelEntity name="[Table2]"/>
      </x15:pivotTableUISettings>
    </ext>
  </extLst>
</pivotTableDefinition>
</file>

<file path=xl/pivotTables/pivotTable2.xml><?xml version="1.0" encoding="utf-8"?>
<pivotTableDefinition xmlns="http://schemas.openxmlformats.org/spreadsheetml/2006/main" name="PivotTable1" cacheId="355" applyNumberFormats="0" applyBorderFormats="0" applyFontFormats="0" applyPatternFormats="0" applyAlignmentFormats="0" applyWidthHeightFormats="1" dataCaption="Values" updatedVersion="5" minRefreshableVersion="5" useAutoFormatting="1" subtotalHiddenItems="1" itemPrintTitles="1" createdVersion="5" indent="0" outline="1" outlineData="1" multipleFieldFilters="0" chartFormat="4">
  <location ref="A3:B8" firstHeaderRow="1" firstDataRow="1" firstDataCol="1"/>
  <pivotFields count="4">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s>
  <rowFields count="1">
    <field x="0"/>
  </rowFields>
  <rowItems count="5">
    <i>
      <x/>
    </i>
    <i>
      <x v="1"/>
    </i>
    <i>
      <x v="2"/>
    </i>
    <i>
      <x v="3"/>
    </i>
    <i t="grand">
      <x/>
    </i>
  </rowItems>
  <colItems count="1">
    <i/>
  </colItems>
  <dataFields count="1">
    <dataField name="Sum of Sales Amount ($)"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2">
        <x15:activeTabTopLevelEntity name="[Table2]"/>
      </x15:pivotTableUISettings>
    </ext>
  </extLst>
</pivotTableDefinition>
</file>

<file path=xl/pivotTables/pivotTable3.xml><?xml version="1.0" encoding="utf-8"?>
<pivotTableDefinition xmlns="http://schemas.openxmlformats.org/spreadsheetml/2006/main" name="PivotTable3" cacheId="352" applyNumberFormats="0" applyBorderFormats="0" applyFontFormats="0" applyPatternFormats="0" applyAlignmentFormats="0" applyWidthHeightFormats="1" dataCaption="Values" updatedVersion="5" minRefreshableVersion="5" useAutoFormatting="1" subtotalHiddenItems="1" itemPrintTitles="1" createdVersion="5" indent="0" outline="1" outlineData="1" multipleFieldFilters="0" chartFormat="4">
  <location ref="A3:B16" firstHeaderRow="1" firstDataRow="1" firstDataCol="1"/>
  <pivotFields count="4">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Amount ($)"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2">
        <x15:activeTabTopLevelEntity name="[Table2]"/>
      </x15:pivotTableUISettings>
    </ext>
  </extLst>
</pivotTableDefinition>
</file>

<file path=xl/pivotTables/pivotTable4.xml><?xml version="1.0" encoding="utf-8"?>
<pivotTableDefinition xmlns="http://schemas.openxmlformats.org/spreadsheetml/2006/main" name="PivotTable4" cacheId="349" applyNumberFormats="0" applyBorderFormats="0" applyFontFormats="0" applyPatternFormats="0" applyAlignmentFormats="0" applyWidthHeightFormats="1" dataCaption="Values" updatedVersion="5" minRefreshableVersion="5" useAutoFormatting="1" subtotalHiddenItems="1" itemPrintTitles="1" createdVersion="5" indent="0" outline="1" outlineData="1" multipleFieldFilters="0" chartFormat="6">
  <location ref="A3:B50" firstHeaderRow="1" firstDataRow="1" firstDataCol="1"/>
  <pivotFields count="5">
    <pivotField dataField="1" showAll="0"/>
    <pivotField axis="axisRow" allDrilled="1" showAll="0" dataSourceSort="1"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Sales Amount ($)"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2">
        <x15:activeTabTopLevelEntity name="[Table2]"/>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Table2].[Category]">
  <pivotTables>
    <pivotTable tabId="10" name="PivotTable1"/>
    <pivotTable tabId="13" name="PivotTable4"/>
    <pivotTable tabId="12" name="PivotTable3"/>
  </pivotTables>
  <data>
    <olap pivotCacheId="15">
      <levels count="2">
        <level uniqueName="[Table2].[Category].[(All)]" sourceCaption="(All)" count="0"/>
        <level uniqueName="[Table2].[Category].[Category]" sourceCaption="Category" count="3">
          <ranges>
            <range startItem="0">
              <i n="[Table2].[Category].&amp;[Electronics]" c="Electronics"/>
              <i n="[Table2].[Category].&amp;[Furniture]" c="Furniture"/>
              <i n="[Table2].[Category].&amp;[Stationery]" c="Stationery"/>
            </range>
          </ranges>
        </level>
      </levels>
      <selections count="1">
        <selection n="[Table2].[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Table2].[Region]">
  <pivotTables>
    <pivotTable tabId="10" name="PivotTable1"/>
    <pivotTable tabId="13" name="PivotTable4"/>
    <pivotTable tabId="12" name="PivotTable3"/>
  </pivotTables>
  <data>
    <olap pivotCacheId="15">
      <levels count="2">
        <level uniqueName="[Table2].[Region].[(All)]" sourceCaption="(All)" count="0"/>
        <level uniqueName="[Table2].[Region].[Region]" sourceCaption="Region" count="4">
          <ranges>
            <range startItem="0">
              <i n="[Table2].[Region].&amp;[East]" c="East"/>
              <i n="[Table2].[Region].&amp;[North]" c="North"/>
              <i n="[Table2].[Region].&amp;[South]" c="South"/>
              <i n="[Table2].[Region].&amp;[West]" c="West"/>
            </range>
          </ranges>
        </level>
      </levels>
      <selections count="1">
        <selection n="[Table2].[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1" sourceName="[Table2].[Product]">
  <pivotTables>
    <pivotTable tabId="10" name="PivotTable1"/>
    <pivotTable tabId="13" name="PivotTable4"/>
    <pivotTable tabId="12" name="PivotTable3"/>
  </pivotTables>
  <data>
    <olap pivotCacheId="15">
      <levels count="2">
        <level uniqueName="[Table2].[Product].[(All)]" sourceCaption="(All)" count="0"/>
        <level uniqueName="[Table2].[Product].[Product]" sourceCaption="Product" count="12">
          <ranges>
            <range startItem="0">
              <i n="[Table2].[Product].&amp;[Bookshelf]" c="Bookshelf"/>
              <i n="[Table2].[Product].&amp;[Headphones]" c="Headphones"/>
              <i n="[Table2].[Product].&amp;[Laptop Pro]" c="Laptop Pro"/>
              <i n="[Table2].[Product].&amp;[Monitor 27in]" c="Monitor 27in"/>
              <i n="[Table2].[Product].&amp;[Notebook Set]" c="Notebook Set"/>
              <i n="[Table2].[Product].&amp;[Office Chair]" c="Office Chair"/>
              <i n="[Table2].[Product].&amp;[Pen Pack]" c="Pen Pack"/>
              <i n="[Table2].[Product].&amp;[Standing Desk]" c="Standing Desk"/>
              <i n="[Table2].[Product].&amp;[Tablet Pro]" c="Tablet Pro"/>
              <i n="[Table2].[Product].&amp;[USB-C Hub]" c="USB-C Hub"/>
              <i n="[Table2].[Product].&amp;[Webcam HD]" c="Webcam HD"/>
              <i n="[Table2].[Product].&amp;[Wireless Mouse]" c="Wireless Mouse"/>
            </range>
          </ranges>
        </level>
      </levels>
      <selections count="1">
        <selection n="[Table2].[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rowHeight="234950"/>
  <slicer name="Region 1" cache="Slicer_Region1" caption="Region" level="1" rowHeight="234950"/>
  <slicer name="Product 1" cache="Slicer_Product1" caption="Product" level="1" rowHeight="234950"/>
</slicers>
</file>

<file path=xl/tables/table1.xml><?xml version="1.0" encoding="utf-8"?>
<table xmlns="http://schemas.openxmlformats.org/spreadsheetml/2006/main" id="1" name="Table1" displayName="Table1" ref="A3:I51" totalsRowShown="0" headerRowDxfId="35" dataDxfId="33" headerRowBorderDxfId="34" tableBorderDxfId="32" totalsRowBorderDxfId="31">
  <autoFilter ref="A3:I51"/>
  <tableColumns count="9">
    <tableColumn id="1" name="Order ID" dataDxfId="30"/>
    <tableColumn id="2" name="Order Date" dataDxfId="29"/>
    <tableColumn id="3" name="Region" dataDxfId="28"/>
    <tableColumn id="4" name="Customer" dataDxfId="27"/>
    <tableColumn id="5" name="Product" dataDxfId="26"/>
    <tableColumn id="6" name="Category" dataDxfId="25"/>
    <tableColumn id="7" name="Quantity" dataDxfId="24"/>
    <tableColumn id="8" name="Unit Price ($)" dataDxfId="23"/>
    <tableColumn id="9" name="Sales Amount ($)" dataDxfId="22"/>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3:I51" totalsRowShown="0" headerRowDxfId="21" headerRowBorderDxfId="20" tableBorderDxfId="19" totalsRowBorderDxfId="18">
  <autoFilter ref="A3:I51"/>
  <tableColumns count="9">
    <tableColumn id="1" name="Order ID" dataDxfId="17"/>
    <tableColumn id="2" name="Order Date" dataDxfId="16"/>
    <tableColumn id="3" name="Region" dataDxfId="15"/>
    <tableColumn id="4" name="Customer Name" dataDxfId="14"/>
    <tableColumn id="5" name="Product" dataDxfId="13"/>
    <tableColumn id="6" name="Category" dataDxfId="12"/>
    <tableColumn id="7" name="Quantity" dataDxfId="11"/>
    <tableColumn id="8" name="Unit Price ($)" dataDxfId="10"/>
    <tableColumn id="9" name="Sales Amount ($)" dataDxfId="9"/>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3:E15" totalsRowShown="0" headerRowDxfId="8" headerRowBorderDxfId="7" tableBorderDxfId="6" totalsRowBorderDxfId="5">
  <autoFilter ref="A3:E15"/>
  <tableColumns count="5">
    <tableColumn id="1" name="Product ID" dataDxfId="4"/>
    <tableColumn id="2" name="Product Name" dataDxfId="3"/>
    <tableColumn id="3" name="Category" dataDxfId="2"/>
    <tableColumn id="4" name="Unit Price ($)" dataDxfId="1"/>
    <tableColumn id="5" name="In Stoc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Timeline_Order_Date" sourceName="[Table2].[Order Date]">
  <pivotTables>
    <pivotTable tabId="10" name="PivotTable1"/>
    <pivotTable tabId="13" name="PivotTable4"/>
    <pivotTable tabId="12" name="PivotTable3"/>
  </pivotTables>
  <state minimalRefreshVersion="6" lastRefreshVersion="6" pivotCacheId="16"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1" cache="Timeline_Order_Date" caption="Order Date" level="2" selectionLevel="2" scrollPosition="2024-06-0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9"/>
  </sheetPr>
  <dimension ref="A1:X53"/>
  <sheetViews>
    <sheetView showGridLines="0" tabSelected="1" zoomScaleNormal="100" workbookViewId="0">
      <selection activeCell="D4" sqref="D4:F5"/>
    </sheetView>
  </sheetViews>
  <sheetFormatPr defaultColWidth="8.6640625" defaultRowHeight="14.4" x14ac:dyDescent="0.3"/>
  <cols>
    <col min="1" max="14" width="9" customWidth="1"/>
    <col min="24" max="24" width="8.6640625" style="60"/>
  </cols>
  <sheetData>
    <row r="1" spans="1:24" ht="54" customHeight="1" x14ac:dyDescent="0.3">
      <c r="A1" s="54" t="s">
        <v>0</v>
      </c>
      <c r="B1" s="55"/>
      <c r="C1" s="55"/>
      <c r="D1" s="55"/>
      <c r="E1" s="55"/>
      <c r="F1" s="55"/>
      <c r="G1" s="55"/>
      <c r="H1" s="55"/>
      <c r="I1" s="55"/>
      <c r="J1" s="55"/>
      <c r="K1" s="55"/>
      <c r="L1" s="55"/>
      <c r="M1" s="55"/>
      <c r="N1" s="55"/>
      <c r="O1" s="55"/>
      <c r="P1" s="55"/>
      <c r="Q1" s="55"/>
      <c r="R1" s="55"/>
      <c r="S1" s="55"/>
      <c r="T1" s="55"/>
      <c r="U1" s="55"/>
      <c r="V1" s="55"/>
      <c r="W1" s="55"/>
      <c r="X1" s="55"/>
    </row>
    <row r="2" spans="1:24" ht="25.5" customHeight="1" x14ac:dyDescent="0.3">
      <c r="A2" s="56" t="s">
        <v>1</v>
      </c>
      <c r="B2" s="56"/>
      <c r="C2" s="56"/>
      <c r="D2" s="56"/>
      <c r="E2" s="56"/>
      <c r="F2" s="56"/>
      <c r="G2" s="56"/>
      <c r="H2" s="56"/>
      <c r="I2" s="56"/>
      <c r="J2" s="56"/>
      <c r="K2" s="56"/>
      <c r="L2" s="56"/>
      <c r="M2" s="56"/>
      <c r="N2" s="56"/>
      <c r="O2" s="56"/>
      <c r="P2" s="56"/>
      <c r="Q2" s="56"/>
      <c r="R2" s="56"/>
      <c r="S2" s="56"/>
      <c r="T2" s="56"/>
      <c r="U2" s="56"/>
      <c r="V2" s="56"/>
      <c r="W2" s="56"/>
      <c r="X2" s="56"/>
    </row>
    <row r="3" spans="1:24" ht="21.75" customHeight="1" x14ac:dyDescent="0.3">
      <c r="A3" s="43" t="s">
        <v>2</v>
      </c>
      <c r="B3" s="43"/>
      <c r="C3" s="43"/>
      <c r="D3" s="44" t="s">
        <v>3</v>
      </c>
      <c r="E3" s="44"/>
      <c r="F3" s="44"/>
      <c r="G3" s="45" t="s">
        <v>4</v>
      </c>
      <c r="H3" s="45"/>
      <c r="I3" s="45"/>
      <c r="J3" s="46" t="s">
        <v>5</v>
      </c>
      <c r="K3" s="46"/>
      <c r="L3" s="46"/>
    </row>
    <row r="4" spans="1:24" ht="21.75" customHeight="1" x14ac:dyDescent="0.3">
      <c r="A4" s="38">
        <v>48</v>
      </c>
      <c r="B4" s="38"/>
      <c r="C4" s="38"/>
      <c r="D4" s="39">
        <v>47468.62</v>
      </c>
      <c r="E4" s="39"/>
      <c r="F4" s="39"/>
      <c r="G4" s="40">
        <v>988.92958333333297</v>
      </c>
      <c r="H4" s="40"/>
      <c r="I4" s="40"/>
      <c r="J4" s="41" t="s">
        <v>6</v>
      </c>
      <c r="K4" s="41"/>
      <c r="L4" s="41"/>
    </row>
    <row r="5" spans="1:24" ht="36" customHeight="1" x14ac:dyDescent="0.3">
      <c r="A5" s="38"/>
      <c r="B5" s="38"/>
      <c r="C5" s="38"/>
      <c r="D5" s="39"/>
      <c r="E5" s="39"/>
      <c r="F5" s="39"/>
      <c r="G5" s="40"/>
      <c r="H5" s="40"/>
      <c r="I5" s="40"/>
      <c r="J5" s="41"/>
      <c r="K5" s="41"/>
      <c r="L5" s="41"/>
    </row>
    <row r="6" spans="1:24" ht="24" customHeight="1" x14ac:dyDescent="0.3">
      <c r="A6" s="59" t="s">
        <v>7</v>
      </c>
      <c r="B6" s="59"/>
      <c r="C6" s="59"/>
      <c r="D6" s="59"/>
      <c r="E6" s="59"/>
      <c r="F6" s="59"/>
      <c r="G6" s="42" t="s">
        <v>8</v>
      </c>
      <c r="H6" s="42"/>
      <c r="I6" s="42"/>
      <c r="J6" s="42"/>
      <c r="K6" s="42"/>
      <c r="L6" s="42"/>
      <c r="M6" s="57" t="s">
        <v>134</v>
      </c>
      <c r="N6" s="58"/>
      <c r="O6" s="58"/>
      <c r="P6" s="58"/>
      <c r="Q6" s="58"/>
      <c r="R6" s="58"/>
      <c r="S6" s="58"/>
      <c r="T6" s="58"/>
    </row>
    <row r="27" ht="24" customHeight="1" x14ac:dyDescent="0.3"/>
    <row r="46" spans="1:13" x14ac:dyDescent="0.3">
      <c r="M46" s="1"/>
    </row>
    <row r="47" spans="1:13" ht="24" customHeight="1" x14ac:dyDescent="0.3">
      <c r="A47" s="1" t="s">
        <v>9</v>
      </c>
      <c r="B47" s="1"/>
      <c r="C47" s="1"/>
      <c r="D47" s="1"/>
      <c r="E47" s="1"/>
      <c r="F47" s="1"/>
      <c r="G47" s="1"/>
      <c r="H47" s="1"/>
      <c r="I47" s="1"/>
      <c r="J47" s="1"/>
      <c r="K47" s="1"/>
      <c r="L47" s="1"/>
      <c r="M47" s="14"/>
    </row>
    <row r="48" spans="1:13" ht="18" customHeight="1" x14ac:dyDescent="0.3">
      <c r="A48" s="14" t="s">
        <v>10</v>
      </c>
      <c r="B48" s="14"/>
      <c r="C48" s="14"/>
      <c r="D48" s="14"/>
      <c r="E48" s="14"/>
      <c r="F48" s="14"/>
      <c r="G48" s="14"/>
      <c r="H48" s="14"/>
      <c r="I48" s="14"/>
      <c r="J48" s="14"/>
      <c r="K48" s="14"/>
      <c r="L48" s="14"/>
      <c r="M48" s="15"/>
    </row>
    <row r="49" spans="1:13" ht="18" customHeight="1" x14ac:dyDescent="0.3">
      <c r="A49" s="15" t="s">
        <v>11</v>
      </c>
      <c r="B49" s="15"/>
      <c r="C49" s="15"/>
      <c r="D49" s="15"/>
      <c r="E49" s="15"/>
      <c r="F49" s="15"/>
      <c r="G49" s="15"/>
      <c r="H49" s="15"/>
      <c r="I49" s="15"/>
      <c r="J49" s="15"/>
      <c r="K49" s="15"/>
      <c r="L49" s="15"/>
      <c r="M49" s="14"/>
    </row>
    <row r="50" spans="1:13" ht="18" customHeight="1" x14ac:dyDescent="0.3">
      <c r="A50" s="14" t="s">
        <v>12</v>
      </c>
      <c r="B50" s="14"/>
      <c r="C50" s="14"/>
      <c r="D50" s="14"/>
      <c r="E50" s="14"/>
      <c r="F50" s="14"/>
      <c r="G50" s="14"/>
      <c r="H50" s="14"/>
      <c r="I50" s="14"/>
      <c r="J50" s="14"/>
      <c r="K50" s="14"/>
      <c r="L50" s="14"/>
      <c r="M50" s="15"/>
    </row>
    <row r="51" spans="1:13" ht="18" customHeight="1" x14ac:dyDescent="0.3">
      <c r="A51" s="15" t="s">
        <v>13</v>
      </c>
      <c r="B51" s="15"/>
      <c r="C51" s="15"/>
      <c r="D51" s="15"/>
      <c r="E51" s="15"/>
      <c r="F51" s="15"/>
      <c r="G51" s="15"/>
      <c r="H51" s="15"/>
      <c r="I51" s="15"/>
      <c r="J51" s="15"/>
      <c r="K51" s="15"/>
      <c r="L51" s="15"/>
      <c r="M51" s="14"/>
    </row>
    <row r="52" spans="1:13" ht="18" customHeight="1" x14ac:dyDescent="0.3">
      <c r="A52" s="14" t="s">
        <v>14</v>
      </c>
      <c r="B52" s="14"/>
      <c r="C52" s="14"/>
      <c r="D52" s="14"/>
      <c r="E52" s="14"/>
      <c r="F52" s="14"/>
      <c r="G52" s="14"/>
      <c r="H52" s="14"/>
      <c r="I52" s="14"/>
      <c r="J52" s="14"/>
      <c r="K52" s="14"/>
      <c r="L52" s="14"/>
      <c r="M52" s="15"/>
    </row>
    <row r="53" spans="1:13" ht="18" customHeight="1" x14ac:dyDescent="0.3">
      <c r="A53" s="15" t="s">
        <v>15</v>
      </c>
      <c r="B53" s="15"/>
      <c r="C53" s="15"/>
      <c r="D53" s="15"/>
      <c r="E53" s="15"/>
      <c r="F53" s="15"/>
      <c r="G53" s="15"/>
      <c r="H53" s="15"/>
      <c r="I53" s="15"/>
      <c r="J53" s="15"/>
      <c r="K53" s="15"/>
      <c r="L53" s="15"/>
    </row>
  </sheetData>
  <mergeCells count="13">
    <mergeCell ref="A3:C3"/>
    <mergeCell ref="D3:F3"/>
    <mergeCell ref="G3:I3"/>
    <mergeCell ref="J3:L3"/>
    <mergeCell ref="A1:X1"/>
    <mergeCell ref="A2:X2"/>
    <mergeCell ref="A4:C5"/>
    <mergeCell ref="D4:F5"/>
    <mergeCell ref="G4:I5"/>
    <mergeCell ref="J4:L5"/>
    <mergeCell ref="A6:F6"/>
    <mergeCell ref="G6:L6"/>
    <mergeCell ref="M6:T6"/>
  </mergeCells>
  <pageMargins left="0.75" right="0.75" top="1" bottom="1" header="0.511811023622047" footer="0.511811023622047"/>
  <pageSetup paperSize="9"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I51"/>
  <sheetViews>
    <sheetView zoomScaleNormal="100" workbookViewId="0">
      <pane ySplit="3" topLeftCell="A27" activePane="bottomLeft" state="frozen"/>
      <selection pane="bottomLeft" activeCell="K39" sqref="K39"/>
    </sheetView>
  </sheetViews>
  <sheetFormatPr defaultColWidth="8.6640625" defaultRowHeight="14.4" x14ac:dyDescent="0.3"/>
  <cols>
    <col min="1" max="1" width="12" customWidth="1"/>
    <col min="2" max="2" width="14" customWidth="1"/>
    <col min="3" max="3" width="10" customWidth="1"/>
    <col min="4" max="4" width="20" customWidth="1"/>
    <col min="5" max="5" width="18" customWidth="1"/>
    <col min="6" max="6" width="14" customWidth="1"/>
    <col min="7" max="7" width="10.33203125" customWidth="1"/>
    <col min="8" max="8" width="15" customWidth="1"/>
    <col min="9" max="9" width="17.77734375" customWidth="1"/>
  </cols>
  <sheetData>
    <row r="1" spans="1:9" ht="39.75" customHeight="1" x14ac:dyDescent="0.3">
      <c r="A1" s="47" t="s">
        <v>16</v>
      </c>
      <c r="B1" s="47"/>
      <c r="C1" s="47"/>
      <c r="D1" s="47"/>
      <c r="E1" s="47"/>
      <c r="F1" s="47"/>
      <c r="G1" s="47"/>
      <c r="H1" s="47"/>
      <c r="I1" s="47"/>
    </row>
    <row r="3" spans="1:9" x14ac:dyDescent="0.3">
      <c r="A3" s="23" t="s">
        <v>17</v>
      </c>
      <c r="B3" s="24" t="s">
        <v>18</v>
      </c>
      <c r="C3" s="24" t="s">
        <v>19</v>
      </c>
      <c r="D3" s="24" t="s">
        <v>20</v>
      </c>
      <c r="E3" s="24" t="s">
        <v>21</v>
      </c>
      <c r="F3" s="24" t="s">
        <v>22</v>
      </c>
      <c r="G3" s="24" t="s">
        <v>23</v>
      </c>
      <c r="H3" s="24" t="s">
        <v>24</v>
      </c>
      <c r="I3" s="25" t="s">
        <v>25</v>
      </c>
    </row>
    <row r="4" spans="1:9" x14ac:dyDescent="0.3">
      <c r="A4" s="16" t="s">
        <v>26</v>
      </c>
      <c r="B4" s="4">
        <v>45299</v>
      </c>
      <c r="C4" s="5" t="s">
        <v>6</v>
      </c>
      <c r="D4" s="5" t="s">
        <v>27</v>
      </c>
      <c r="E4" s="5" t="s">
        <v>28</v>
      </c>
      <c r="F4" s="5" t="s">
        <v>29</v>
      </c>
      <c r="G4" s="5">
        <v>3</v>
      </c>
      <c r="H4" s="6">
        <v>199.99</v>
      </c>
      <c r="I4" s="19">
        <v>599.97</v>
      </c>
    </row>
    <row r="5" spans="1:9" x14ac:dyDescent="0.3">
      <c r="A5" s="17" t="s">
        <v>30</v>
      </c>
      <c r="B5" s="8">
        <v>45294</v>
      </c>
      <c r="C5" s="2" t="s">
        <v>6</v>
      </c>
      <c r="D5" s="2" t="s">
        <v>31</v>
      </c>
      <c r="E5" s="2" t="s">
        <v>32</v>
      </c>
      <c r="F5" s="2" t="s">
        <v>29</v>
      </c>
      <c r="G5" s="2">
        <v>5</v>
      </c>
      <c r="H5" s="9">
        <v>599.99</v>
      </c>
      <c r="I5" s="20">
        <v>2999.95</v>
      </c>
    </row>
    <row r="6" spans="1:9" x14ac:dyDescent="0.3">
      <c r="A6" s="18" t="s">
        <v>33</v>
      </c>
      <c r="B6" s="10"/>
      <c r="C6" s="10" t="s">
        <v>34</v>
      </c>
      <c r="D6" s="10" t="s">
        <v>35</v>
      </c>
      <c r="E6" s="10" t="s">
        <v>36</v>
      </c>
      <c r="F6" s="10" t="s">
        <v>37</v>
      </c>
      <c r="G6" s="10">
        <v>2</v>
      </c>
      <c r="H6" s="11">
        <v>1299.99</v>
      </c>
      <c r="I6" s="21">
        <v>2599.98</v>
      </c>
    </row>
    <row r="7" spans="1:9" x14ac:dyDescent="0.3">
      <c r="A7" s="17" t="s">
        <v>38</v>
      </c>
      <c r="B7" s="8">
        <v>45298</v>
      </c>
      <c r="C7" s="2" t="s">
        <v>6</v>
      </c>
      <c r="D7" s="2" t="s">
        <v>39</v>
      </c>
      <c r="E7" s="2" t="s">
        <v>32</v>
      </c>
      <c r="F7" s="2" t="s">
        <v>29</v>
      </c>
      <c r="G7" s="2">
        <v>5</v>
      </c>
      <c r="H7" s="9">
        <v>599.99</v>
      </c>
      <c r="I7" s="20">
        <v>2999.95</v>
      </c>
    </row>
    <row r="8" spans="1:9" x14ac:dyDescent="0.3">
      <c r="A8" s="16" t="s">
        <v>40</v>
      </c>
      <c r="B8" s="4">
        <v>45337</v>
      </c>
      <c r="C8" s="5" t="s">
        <v>41</v>
      </c>
      <c r="D8" s="5" t="s">
        <v>42</v>
      </c>
      <c r="E8" s="5" t="s">
        <v>43</v>
      </c>
      <c r="F8" s="5" t="s">
        <v>37</v>
      </c>
      <c r="G8" s="5">
        <v>2</v>
      </c>
      <c r="H8" s="6">
        <v>499.99</v>
      </c>
      <c r="I8" s="19">
        <v>999.98</v>
      </c>
    </row>
    <row r="9" spans="1:9" x14ac:dyDescent="0.3">
      <c r="A9" s="17" t="s">
        <v>33</v>
      </c>
      <c r="B9" s="8">
        <v>45345</v>
      </c>
      <c r="C9" s="2" t="s">
        <v>6</v>
      </c>
      <c r="D9" s="2" t="s">
        <v>44</v>
      </c>
      <c r="E9" s="2" t="s">
        <v>45</v>
      </c>
      <c r="F9" s="2" t="s">
        <v>46</v>
      </c>
      <c r="G9" s="2">
        <v>2</v>
      </c>
      <c r="H9" s="9">
        <v>9.99</v>
      </c>
      <c r="I9" s="20">
        <v>19.98</v>
      </c>
    </row>
    <row r="10" spans="1:9" x14ac:dyDescent="0.3">
      <c r="A10" s="16" t="s">
        <v>47</v>
      </c>
      <c r="B10" s="4">
        <v>45329</v>
      </c>
      <c r="C10" s="5" t="s">
        <v>48</v>
      </c>
      <c r="D10" s="5" t="s">
        <v>49</v>
      </c>
      <c r="E10" s="5" t="s">
        <v>50</v>
      </c>
      <c r="F10" s="5" t="s">
        <v>37</v>
      </c>
      <c r="G10" s="5">
        <v>2</v>
      </c>
      <c r="H10" s="6">
        <v>449.99</v>
      </c>
      <c r="I10" s="19">
        <v>899.98</v>
      </c>
    </row>
    <row r="11" spans="1:9" x14ac:dyDescent="0.3">
      <c r="A11" s="18" t="s">
        <v>51</v>
      </c>
      <c r="B11" s="10" t="s">
        <v>52</v>
      </c>
      <c r="C11" s="10" t="s">
        <v>53</v>
      </c>
      <c r="D11" s="10" t="s">
        <v>31</v>
      </c>
      <c r="E11" s="10" t="s">
        <v>54</v>
      </c>
      <c r="F11" s="10" t="s">
        <v>29</v>
      </c>
      <c r="G11" s="10">
        <v>1</v>
      </c>
      <c r="H11" s="11">
        <v>349.99</v>
      </c>
      <c r="I11" s="22" t="s">
        <v>55</v>
      </c>
    </row>
    <row r="12" spans="1:9" x14ac:dyDescent="0.3">
      <c r="A12" s="16" t="s">
        <v>56</v>
      </c>
      <c r="B12" s="4">
        <v>45375</v>
      </c>
      <c r="C12" s="5" t="s">
        <v>48</v>
      </c>
      <c r="D12" s="5" t="s">
        <v>49</v>
      </c>
      <c r="E12" s="5" t="s">
        <v>57</v>
      </c>
      <c r="F12" s="5" t="s">
        <v>37</v>
      </c>
      <c r="G12" s="5">
        <v>1</v>
      </c>
      <c r="H12" s="6">
        <v>49.99</v>
      </c>
      <c r="I12" s="19">
        <v>49.99</v>
      </c>
    </row>
    <row r="13" spans="1:9" x14ac:dyDescent="0.3">
      <c r="A13" s="17" t="s">
        <v>58</v>
      </c>
      <c r="B13" s="8">
        <v>45354</v>
      </c>
      <c r="C13" s="2" t="s">
        <v>6</v>
      </c>
      <c r="D13" s="2" t="s">
        <v>42</v>
      </c>
      <c r="E13" s="2" t="s">
        <v>59</v>
      </c>
      <c r="F13" s="2" t="s">
        <v>37</v>
      </c>
      <c r="G13" s="2">
        <v>4</v>
      </c>
      <c r="H13" s="9">
        <v>79.989999999999995</v>
      </c>
      <c r="I13" s="20">
        <v>319.95999999999998</v>
      </c>
    </row>
    <row r="14" spans="1:9" x14ac:dyDescent="0.3">
      <c r="A14" s="16" t="s">
        <v>51</v>
      </c>
      <c r="B14" s="4">
        <v>45358</v>
      </c>
      <c r="C14" s="5" t="s">
        <v>48</v>
      </c>
      <c r="D14" s="5" t="s">
        <v>44</v>
      </c>
      <c r="E14" s="5" t="s">
        <v>60</v>
      </c>
      <c r="F14" s="5" t="s">
        <v>37</v>
      </c>
      <c r="G14" s="5">
        <v>5</v>
      </c>
      <c r="H14" s="6">
        <v>129.99</v>
      </c>
      <c r="I14" s="19">
        <v>649.95000000000005</v>
      </c>
    </row>
    <row r="15" spans="1:9" x14ac:dyDescent="0.3">
      <c r="A15" s="17" t="s">
        <v>61</v>
      </c>
      <c r="B15" s="8">
        <v>45376</v>
      </c>
      <c r="C15" s="2" t="s">
        <v>6</v>
      </c>
      <c r="D15" s="2" t="s">
        <v>27</v>
      </c>
      <c r="E15" s="2" t="s">
        <v>43</v>
      </c>
      <c r="F15" s="2" t="s">
        <v>37</v>
      </c>
      <c r="G15" s="2">
        <v>2</v>
      </c>
      <c r="H15" s="9">
        <v>499.99</v>
      </c>
      <c r="I15" s="20">
        <v>999.98</v>
      </c>
    </row>
    <row r="16" spans="1:9" x14ac:dyDescent="0.3">
      <c r="A16" s="16" t="s">
        <v>62</v>
      </c>
      <c r="B16" s="4">
        <v>45395</v>
      </c>
      <c r="C16" s="5" t="s">
        <v>53</v>
      </c>
      <c r="D16" s="5" t="s">
        <v>27</v>
      </c>
      <c r="E16" s="5" t="s">
        <v>63</v>
      </c>
      <c r="F16" s="5" t="s">
        <v>46</v>
      </c>
      <c r="G16" s="5">
        <v>1</v>
      </c>
      <c r="H16" s="6">
        <v>19.989999999999998</v>
      </c>
      <c r="I16" s="19">
        <v>19.989999999999998</v>
      </c>
    </row>
    <row r="17" spans="1:9" x14ac:dyDescent="0.3">
      <c r="A17" s="17" t="s">
        <v>64</v>
      </c>
      <c r="B17" s="8">
        <v>45394</v>
      </c>
      <c r="C17" s="2" t="s">
        <v>48</v>
      </c>
      <c r="D17" s="2" t="s">
        <v>65</v>
      </c>
      <c r="E17" s="2" t="s">
        <v>63</v>
      </c>
      <c r="F17" s="2" t="s">
        <v>46</v>
      </c>
      <c r="G17" s="2">
        <v>2</v>
      </c>
      <c r="H17" s="9">
        <v>19.989999999999998</v>
      </c>
      <c r="I17" s="20">
        <v>39.979999999999997</v>
      </c>
    </row>
    <row r="18" spans="1:9" x14ac:dyDescent="0.3">
      <c r="A18" s="16" t="s">
        <v>66</v>
      </c>
      <c r="B18" s="4">
        <v>45402</v>
      </c>
      <c r="C18" s="5" t="s">
        <v>48</v>
      </c>
      <c r="D18" s="5" t="s">
        <v>39</v>
      </c>
      <c r="E18" s="5" t="s">
        <v>57</v>
      </c>
      <c r="F18" s="5" t="s">
        <v>37</v>
      </c>
      <c r="G18" s="5">
        <v>1</v>
      </c>
      <c r="H18" s="6">
        <v>49.99</v>
      </c>
      <c r="I18" s="19">
        <v>49.99</v>
      </c>
    </row>
    <row r="19" spans="1:9" x14ac:dyDescent="0.3">
      <c r="A19" s="18" t="s">
        <v>67</v>
      </c>
      <c r="B19" s="12">
        <v>45427</v>
      </c>
      <c r="C19" s="10" t="s">
        <v>68</v>
      </c>
      <c r="D19" s="10" t="s">
        <v>69</v>
      </c>
      <c r="E19" s="10" t="s">
        <v>70</v>
      </c>
      <c r="F19" s="10" t="s">
        <v>71</v>
      </c>
      <c r="G19" s="10">
        <v>3</v>
      </c>
      <c r="H19" s="11">
        <v>19.989999999999998</v>
      </c>
      <c r="I19" s="21">
        <v>59.97</v>
      </c>
    </row>
    <row r="20" spans="1:9" x14ac:dyDescent="0.3">
      <c r="A20" s="16" t="s">
        <v>72</v>
      </c>
      <c r="B20" s="4">
        <v>45439</v>
      </c>
      <c r="C20" s="5" t="s">
        <v>53</v>
      </c>
      <c r="D20" s="5" t="s">
        <v>44</v>
      </c>
      <c r="E20" s="5" t="s">
        <v>50</v>
      </c>
      <c r="F20" s="5" t="s">
        <v>37</v>
      </c>
      <c r="G20" s="5">
        <v>3</v>
      </c>
      <c r="H20" s="6">
        <v>449.99</v>
      </c>
      <c r="I20" s="19">
        <v>1349.97</v>
      </c>
    </row>
    <row r="21" spans="1:9" x14ac:dyDescent="0.3">
      <c r="A21" s="17" t="s">
        <v>73</v>
      </c>
      <c r="B21" s="8">
        <v>45425</v>
      </c>
      <c r="C21" s="2" t="s">
        <v>6</v>
      </c>
      <c r="D21" s="2" t="s">
        <v>39</v>
      </c>
      <c r="E21" s="2" t="s">
        <v>36</v>
      </c>
      <c r="F21" s="2" t="s">
        <v>37</v>
      </c>
      <c r="G21" s="2">
        <v>3</v>
      </c>
      <c r="H21" s="9">
        <v>1299.99</v>
      </c>
      <c r="I21" s="20">
        <v>3899.97</v>
      </c>
    </row>
    <row r="22" spans="1:9" x14ac:dyDescent="0.3">
      <c r="A22" s="16" t="s">
        <v>67</v>
      </c>
      <c r="B22" s="4">
        <v>45435</v>
      </c>
      <c r="C22" s="5" t="s">
        <v>53</v>
      </c>
      <c r="D22" s="5" t="s">
        <v>27</v>
      </c>
      <c r="E22" s="5" t="s">
        <v>63</v>
      </c>
      <c r="F22" s="5" t="s">
        <v>46</v>
      </c>
      <c r="G22" s="5">
        <v>5</v>
      </c>
      <c r="H22" s="6">
        <v>19.989999999999998</v>
      </c>
      <c r="I22" s="19">
        <v>99.95</v>
      </c>
    </row>
    <row r="23" spans="1:9" x14ac:dyDescent="0.3">
      <c r="A23" s="17" t="s">
        <v>74</v>
      </c>
      <c r="B23" s="8">
        <v>45433</v>
      </c>
      <c r="C23" s="2" t="s">
        <v>41</v>
      </c>
      <c r="D23" s="2" t="s">
        <v>39</v>
      </c>
      <c r="E23" s="2" t="s">
        <v>57</v>
      </c>
      <c r="F23" s="2" t="s">
        <v>37</v>
      </c>
      <c r="G23" s="2">
        <v>4</v>
      </c>
      <c r="H23" s="9">
        <v>49.99</v>
      </c>
      <c r="I23" s="20">
        <v>199.96</v>
      </c>
    </row>
    <row r="24" spans="1:9" x14ac:dyDescent="0.3">
      <c r="A24" s="16" t="s">
        <v>75</v>
      </c>
      <c r="B24" s="4">
        <v>45451</v>
      </c>
      <c r="C24" s="5" t="s">
        <v>48</v>
      </c>
      <c r="D24" s="5" t="s">
        <v>31</v>
      </c>
      <c r="E24" s="5" t="s">
        <v>59</v>
      </c>
      <c r="F24" s="5" t="s">
        <v>37</v>
      </c>
      <c r="G24" s="5">
        <v>2</v>
      </c>
      <c r="H24" s="6">
        <v>79.989999999999995</v>
      </c>
      <c r="I24" s="19">
        <v>159.97999999999999</v>
      </c>
    </row>
    <row r="25" spans="1:9" x14ac:dyDescent="0.3">
      <c r="A25" s="17" t="s">
        <v>76</v>
      </c>
      <c r="B25" s="8">
        <v>45457</v>
      </c>
      <c r="C25" s="2" t="s">
        <v>48</v>
      </c>
      <c r="D25" s="2" t="s">
        <v>42</v>
      </c>
      <c r="E25" s="2" t="s">
        <v>43</v>
      </c>
      <c r="F25" s="2" t="s">
        <v>37</v>
      </c>
      <c r="G25" s="2">
        <v>5</v>
      </c>
      <c r="H25" s="9">
        <v>499.99</v>
      </c>
      <c r="I25" s="20">
        <v>2499.9499999999998</v>
      </c>
    </row>
    <row r="26" spans="1:9" x14ac:dyDescent="0.3">
      <c r="A26" s="16" t="s">
        <v>77</v>
      </c>
      <c r="B26" s="4">
        <v>45448</v>
      </c>
      <c r="C26" s="5" t="s">
        <v>48</v>
      </c>
      <c r="D26" s="5" t="s">
        <v>78</v>
      </c>
      <c r="E26" s="5" t="s">
        <v>45</v>
      </c>
      <c r="F26" s="5" t="s">
        <v>46</v>
      </c>
      <c r="G26" s="5">
        <v>2</v>
      </c>
      <c r="H26" s="6">
        <v>9.99</v>
      </c>
      <c r="I26" s="19">
        <v>19.98</v>
      </c>
    </row>
    <row r="27" spans="1:9" x14ac:dyDescent="0.3">
      <c r="A27" s="17" t="s">
        <v>79</v>
      </c>
      <c r="B27" s="8">
        <v>45471</v>
      </c>
      <c r="C27" s="2" t="s">
        <v>6</v>
      </c>
      <c r="D27" s="2" t="s">
        <v>65</v>
      </c>
      <c r="E27" s="2" t="s">
        <v>60</v>
      </c>
      <c r="F27" s="2" t="s">
        <v>37</v>
      </c>
      <c r="G27" s="2">
        <v>1</v>
      </c>
      <c r="H27" s="9">
        <v>129.99</v>
      </c>
      <c r="I27" s="20">
        <v>129.99</v>
      </c>
    </row>
    <row r="28" spans="1:9" x14ac:dyDescent="0.3">
      <c r="A28" s="16" t="s">
        <v>80</v>
      </c>
      <c r="B28" s="4">
        <v>45493</v>
      </c>
      <c r="C28" s="5" t="s">
        <v>53</v>
      </c>
      <c r="D28" s="5" t="s">
        <v>31</v>
      </c>
      <c r="E28" s="5" t="s">
        <v>81</v>
      </c>
      <c r="F28" s="5" t="s">
        <v>37</v>
      </c>
      <c r="G28" s="5">
        <v>4</v>
      </c>
      <c r="H28" s="6">
        <v>29.99</v>
      </c>
      <c r="I28" s="19">
        <v>119.96</v>
      </c>
    </row>
    <row r="29" spans="1:9" x14ac:dyDescent="0.3">
      <c r="A29" s="17" t="s">
        <v>82</v>
      </c>
      <c r="B29" s="8">
        <v>45488</v>
      </c>
      <c r="C29" s="2" t="s">
        <v>41</v>
      </c>
      <c r="D29" s="2" t="s">
        <v>78</v>
      </c>
      <c r="E29" s="2" t="s">
        <v>81</v>
      </c>
      <c r="F29" s="2" t="s">
        <v>37</v>
      </c>
      <c r="G29" s="2">
        <v>5</v>
      </c>
      <c r="H29" s="9">
        <v>29.99</v>
      </c>
      <c r="I29" s="20">
        <v>149.94999999999999</v>
      </c>
    </row>
    <row r="30" spans="1:9" x14ac:dyDescent="0.3">
      <c r="A30" s="16" t="s">
        <v>83</v>
      </c>
      <c r="B30" s="4">
        <v>45495</v>
      </c>
      <c r="C30" s="5" t="s">
        <v>6</v>
      </c>
      <c r="D30" s="5" t="s">
        <v>44</v>
      </c>
      <c r="E30" s="5" t="s">
        <v>60</v>
      </c>
      <c r="F30" s="5" t="s">
        <v>37</v>
      </c>
      <c r="G30" s="5">
        <v>1</v>
      </c>
      <c r="H30" s="6">
        <v>129.99</v>
      </c>
      <c r="I30" s="19">
        <v>129.99</v>
      </c>
    </row>
    <row r="31" spans="1:9" x14ac:dyDescent="0.3">
      <c r="A31" s="17" t="s">
        <v>84</v>
      </c>
      <c r="B31" s="8">
        <v>45483</v>
      </c>
      <c r="C31" s="2" t="s">
        <v>48</v>
      </c>
      <c r="D31" s="2" t="s">
        <v>44</v>
      </c>
      <c r="E31" s="2" t="s">
        <v>60</v>
      </c>
      <c r="F31" s="2" t="s">
        <v>37</v>
      </c>
      <c r="G31" s="2">
        <v>1</v>
      </c>
      <c r="H31" s="9">
        <v>129.99</v>
      </c>
      <c r="I31" s="20">
        <v>129.99</v>
      </c>
    </row>
    <row r="32" spans="1:9" x14ac:dyDescent="0.3">
      <c r="A32" s="16" t="s">
        <v>85</v>
      </c>
      <c r="B32" s="4">
        <v>45528</v>
      </c>
      <c r="C32" s="5" t="s">
        <v>41</v>
      </c>
      <c r="D32" s="5" t="s">
        <v>31</v>
      </c>
      <c r="E32" s="5" t="s">
        <v>50</v>
      </c>
      <c r="F32" s="5" t="s">
        <v>37</v>
      </c>
      <c r="G32" s="5">
        <v>1</v>
      </c>
      <c r="H32" s="6">
        <v>449.99</v>
      </c>
      <c r="I32" s="19">
        <v>449.99</v>
      </c>
    </row>
    <row r="33" spans="1:9" x14ac:dyDescent="0.3">
      <c r="A33" s="17" t="s">
        <v>86</v>
      </c>
      <c r="B33" s="8">
        <v>45508</v>
      </c>
      <c r="C33" s="2" t="s">
        <v>53</v>
      </c>
      <c r="D33" s="2" t="s">
        <v>44</v>
      </c>
      <c r="E33" s="2" t="s">
        <v>43</v>
      </c>
      <c r="F33" s="2" t="s">
        <v>37</v>
      </c>
      <c r="G33" s="2">
        <v>5</v>
      </c>
      <c r="H33" s="9">
        <v>499.99</v>
      </c>
      <c r="I33" s="20">
        <v>2499.9499999999998</v>
      </c>
    </row>
    <row r="34" spans="1:9" x14ac:dyDescent="0.3">
      <c r="A34" s="16" t="s">
        <v>87</v>
      </c>
      <c r="B34" s="4">
        <v>45516</v>
      </c>
      <c r="C34" s="5" t="s">
        <v>53</v>
      </c>
      <c r="D34" s="5" t="s">
        <v>44</v>
      </c>
      <c r="E34" s="5" t="s">
        <v>28</v>
      </c>
      <c r="F34" s="5" t="s">
        <v>29</v>
      </c>
      <c r="G34" s="5">
        <v>2</v>
      </c>
      <c r="H34" s="6">
        <v>199.99</v>
      </c>
      <c r="I34" s="19">
        <v>399.98</v>
      </c>
    </row>
    <row r="35" spans="1:9" x14ac:dyDescent="0.3">
      <c r="A35" s="17" t="s">
        <v>88</v>
      </c>
      <c r="B35" s="8">
        <v>45515</v>
      </c>
      <c r="C35" s="2" t="s">
        <v>6</v>
      </c>
      <c r="D35" s="2" t="s">
        <v>42</v>
      </c>
      <c r="E35" s="2" t="s">
        <v>54</v>
      </c>
      <c r="F35" s="2" t="s">
        <v>29</v>
      </c>
      <c r="G35" s="2">
        <v>5</v>
      </c>
      <c r="H35" s="9">
        <v>349.99</v>
      </c>
      <c r="I35" s="20">
        <v>1749.95</v>
      </c>
    </row>
    <row r="36" spans="1:9" x14ac:dyDescent="0.3">
      <c r="A36" s="16" t="s">
        <v>89</v>
      </c>
      <c r="B36" s="4">
        <v>45562</v>
      </c>
      <c r="C36" s="5" t="s">
        <v>6</v>
      </c>
      <c r="D36" s="5" t="s">
        <v>90</v>
      </c>
      <c r="E36" s="5" t="s">
        <v>59</v>
      </c>
      <c r="F36" s="5" t="s">
        <v>37</v>
      </c>
      <c r="G36" s="5">
        <v>3</v>
      </c>
      <c r="H36" s="6">
        <v>79.989999999999995</v>
      </c>
      <c r="I36" s="19">
        <v>239.97</v>
      </c>
    </row>
    <row r="37" spans="1:9" x14ac:dyDescent="0.3">
      <c r="A37" s="17" t="s">
        <v>91</v>
      </c>
      <c r="B37" s="8">
        <v>45554</v>
      </c>
      <c r="C37" s="2" t="s">
        <v>6</v>
      </c>
      <c r="D37" s="2" t="s">
        <v>39</v>
      </c>
      <c r="E37" s="2" t="s">
        <v>63</v>
      </c>
      <c r="F37" s="2" t="s">
        <v>46</v>
      </c>
      <c r="G37" s="2">
        <v>2</v>
      </c>
      <c r="H37" s="9">
        <v>19.989999999999998</v>
      </c>
      <c r="I37" s="20">
        <v>39.979999999999997</v>
      </c>
    </row>
    <row r="38" spans="1:9" x14ac:dyDescent="0.3">
      <c r="A38" s="16" t="s">
        <v>92</v>
      </c>
      <c r="B38" s="4">
        <v>45560</v>
      </c>
      <c r="C38" s="5" t="s">
        <v>41</v>
      </c>
      <c r="D38" s="5" t="s">
        <v>27</v>
      </c>
      <c r="E38" s="5" t="s">
        <v>81</v>
      </c>
      <c r="F38" s="5" t="s">
        <v>37</v>
      </c>
      <c r="G38" s="5">
        <v>1</v>
      </c>
      <c r="H38" s="6">
        <v>29.99</v>
      </c>
      <c r="I38" s="19">
        <v>29.99</v>
      </c>
    </row>
    <row r="39" spans="1:9" x14ac:dyDescent="0.3">
      <c r="A39" s="17" t="s">
        <v>93</v>
      </c>
      <c r="B39" s="8">
        <v>45553</v>
      </c>
      <c r="C39" s="2" t="s">
        <v>53</v>
      </c>
      <c r="D39" s="2" t="s">
        <v>31</v>
      </c>
      <c r="E39" s="2" t="s">
        <v>60</v>
      </c>
      <c r="F39" s="2" t="s">
        <v>37</v>
      </c>
      <c r="G39" s="2">
        <v>4</v>
      </c>
      <c r="H39" s="9">
        <v>129.99</v>
      </c>
      <c r="I39" s="20">
        <v>519.96</v>
      </c>
    </row>
    <row r="40" spans="1:9" x14ac:dyDescent="0.3">
      <c r="A40" s="16" t="s">
        <v>94</v>
      </c>
      <c r="B40" s="4">
        <v>45583</v>
      </c>
      <c r="C40" s="5" t="s">
        <v>41</v>
      </c>
      <c r="D40" s="5" t="s">
        <v>44</v>
      </c>
      <c r="E40" s="5" t="s">
        <v>54</v>
      </c>
      <c r="F40" s="5" t="s">
        <v>29</v>
      </c>
      <c r="G40" s="5">
        <v>2</v>
      </c>
      <c r="H40" s="6">
        <v>349.99</v>
      </c>
      <c r="I40" s="19">
        <v>699.98</v>
      </c>
    </row>
    <row r="41" spans="1:9" x14ac:dyDescent="0.3">
      <c r="A41" s="17" t="s">
        <v>95</v>
      </c>
      <c r="B41" s="8">
        <v>45587</v>
      </c>
      <c r="C41" s="2" t="s">
        <v>48</v>
      </c>
      <c r="D41" s="2" t="s">
        <v>39</v>
      </c>
      <c r="E41" s="2" t="s">
        <v>43</v>
      </c>
      <c r="F41" s="2" t="s">
        <v>37</v>
      </c>
      <c r="G41" s="2">
        <v>4</v>
      </c>
      <c r="H41" s="9">
        <v>499.99</v>
      </c>
      <c r="I41" s="20">
        <v>1999.96</v>
      </c>
    </row>
    <row r="42" spans="1:9" x14ac:dyDescent="0.3">
      <c r="A42" s="16" t="s">
        <v>96</v>
      </c>
      <c r="B42" s="4">
        <v>45580</v>
      </c>
      <c r="C42" s="5" t="s">
        <v>41</v>
      </c>
      <c r="D42" s="5" t="s">
        <v>49</v>
      </c>
      <c r="E42" s="5" t="s">
        <v>28</v>
      </c>
      <c r="F42" s="5" t="s">
        <v>29</v>
      </c>
      <c r="G42" s="5">
        <v>5</v>
      </c>
      <c r="H42" s="6">
        <v>199.99</v>
      </c>
      <c r="I42" s="19">
        <v>999.95</v>
      </c>
    </row>
    <row r="43" spans="1:9" x14ac:dyDescent="0.3">
      <c r="A43" s="17" t="s">
        <v>97</v>
      </c>
      <c r="B43" s="8">
        <v>45576</v>
      </c>
      <c r="C43" s="2" t="s">
        <v>53</v>
      </c>
      <c r="D43" s="2" t="s">
        <v>39</v>
      </c>
      <c r="E43" s="2" t="s">
        <v>81</v>
      </c>
      <c r="F43" s="2" t="s">
        <v>37</v>
      </c>
      <c r="G43" s="2">
        <v>1</v>
      </c>
      <c r="H43" s="9">
        <v>29.99</v>
      </c>
      <c r="I43" s="20">
        <v>29.99</v>
      </c>
    </row>
    <row r="44" spans="1:9" x14ac:dyDescent="0.3">
      <c r="A44" s="16" t="s">
        <v>98</v>
      </c>
      <c r="B44" s="4">
        <v>45604</v>
      </c>
      <c r="C44" s="5" t="s">
        <v>53</v>
      </c>
      <c r="D44" s="5" t="s">
        <v>99</v>
      </c>
      <c r="E44" s="5" t="s">
        <v>36</v>
      </c>
      <c r="F44" s="5" t="s">
        <v>37</v>
      </c>
      <c r="G44" s="5">
        <v>5</v>
      </c>
      <c r="H44" s="6">
        <v>1299.99</v>
      </c>
      <c r="I44" s="19">
        <v>6499.95</v>
      </c>
    </row>
    <row r="45" spans="1:9" x14ac:dyDescent="0.3">
      <c r="A45" s="17" t="s">
        <v>100</v>
      </c>
      <c r="B45" s="8">
        <v>45599</v>
      </c>
      <c r="C45" s="2" t="s">
        <v>6</v>
      </c>
      <c r="D45" s="2" t="s">
        <v>27</v>
      </c>
      <c r="E45" s="2" t="s">
        <v>36</v>
      </c>
      <c r="F45" s="2" t="s">
        <v>37</v>
      </c>
      <c r="G45" s="2">
        <v>2</v>
      </c>
      <c r="H45" s="9">
        <v>1299.99</v>
      </c>
      <c r="I45" s="20">
        <v>2599.98</v>
      </c>
    </row>
    <row r="46" spans="1:9" x14ac:dyDescent="0.3">
      <c r="A46" s="16" t="s">
        <v>101</v>
      </c>
      <c r="B46" s="4">
        <v>45604</v>
      </c>
      <c r="C46" s="5" t="s">
        <v>6</v>
      </c>
      <c r="D46" s="5" t="s">
        <v>49</v>
      </c>
      <c r="E46" s="5" t="s">
        <v>36</v>
      </c>
      <c r="F46" s="5" t="s">
        <v>37</v>
      </c>
      <c r="G46" s="5">
        <v>5</v>
      </c>
      <c r="H46" s="6">
        <v>1299.99</v>
      </c>
      <c r="I46" s="19">
        <v>6499.95</v>
      </c>
    </row>
    <row r="47" spans="1:9" x14ac:dyDescent="0.3">
      <c r="A47" s="17" t="s">
        <v>102</v>
      </c>
      <c r="B47" s="8">
        <v>45601</v>
      </c>
      <c r="C47" s="2" t="s">
        <v>53</v>
      </c>
      <c r="D47" s="2" t="s">
        <v>65</v>
      </c>
      <c r="E47" s="2" t="s">
        <v>63</v>
      </c>
      <c r="F47" s="2" t="s">
        <v>46</v>
      </c>
      <c r="G47" s="2">
        <v>5</v>
      </c>
      <c r="H47" s="9">
        <v>19.989999999999998</v>
      </c>
      <c r="I47" s="20">
        <v>99.95</v>
      </c>
    </row>
    <row r="48" spans="1:9" x14ac:dyDescent="0.3">
      <c r="A48" s="16" t="s">
        <v>103</v>
      </c>
      <c r="B48" s="4">
        <v>45652</v>
      </c>
      <c r="C48" s="5" t="s">
        <v>41</v>
      </c>
      <c r="D48" s="5" t="s">
        <v>99</v>
      </c>
      <c r="E48" s="5" t="s">
        <v>43</v>
      </c>
      <c r="F48" s="5" t="s">
        <v>37</v>
      </c>
      <c r="G48" s="5">
        <v>2</v>
      </c>
      <c r="H48" s="6">
        <v>499.99</v>
      </c>
      <c r="I48" s="19">
        <v>999.98</v>
      </c>
    </row>
    <row r="49" spans="1:9" x14ac:dyDescent="0.3">
      <c r="A49" s="17" t="s">
        <v>104</v>
      </c>
      <c r="B49" s="8">
        <v>45630</v>
      </c>
      <c r="C49" s="2" t="s">
        <v>53</v>
      </c>
      <c r="D49" s="2" t="s">
        <v>78</v>
      </c>
      <c r="E49" s="2" t="s">
        <v>59</v>
      </c>
      <c r="F49" s="2" t="s">
        <v>37</v>
      </c>
      <c r="G49" s="2">
        <v>1</v>
      </c>
      <c r="H49" s="9">
        <v>79.989999999999995</v>
      </c>
      <c r="I49" s="20">
        <v>79.989999999999995</v>
      </c>
    </row>
    <row r="50" spans="1:9" x14ac:dyDescent="0.3">
      <c r="A50" s="16" t="s">
        <v>105</v>
      </c>
      <c r="B50" s="4">
        <v>45640</v>
      </c>
      <c r="C50" s="5" t="s">
        <v>48</v>
      </c>
      <c r="D50" s="5" t="s">
        <v>78</v>
      </c>
      <c r="E50" s="5" t="s">
        <v>28</v>
      </c>
      <c r="F50" s="5" t="s">
        <v>29</v>
      </c>
      <c r="G50" s="5">
        <v>4</v>
      </c>
      <c r="H50" s="6">
        <v>199.99</v>
      </c>
      <c r="I50" s="19">
        <v>799.96</v>
      </c>
    </row>
    <row r="51" spans="1:9" x14ac:dyDescent="0.3">
      <c r="A51" s="26" t="s">
        <v>106</v>
      </c>
      <c r="B51" s="27">
        <v>45639</v>
      </c>
      <c r="C51" s="28" t="s">
        <v>6</v>
      </c>
      <c r="D51" s="28" t="s">
        <v>90</v>
      </c>
      <c r="E51" s="28" t="s">
        <v>59</v>
      </c>
      <c r="F51" s="28" t="s">
        <v>37</v>
      </c>
      <c r="G51" s="28">
        <v>1</v>
      </c>
      <c r="H51" s="29">
        <v>79.989999999999995</v>
      </c>
      <c r="I51" s="30">
        <v>79.989999999999995</v>
      </c>
    </row>
  </sheetData>
  <mergeCells count="1">
    <mergeCell ref="A1:I1"/>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5623"/>
  </sheetPr>
  <dimension ref="A1:I52"/>
  <sheetViews>
    <sheetView zoomScaleNormal="100" workbookViewId="0">
      <pane ySplit="3" topLeftCell="A4" activePane="bottomLeft" state="frozen"/>
      <selection pane="bottomLeft" activeCell="C44" sqref="C44"/>
    </sheetView>
  </sheetViews>
  <sheetFormatPr defaultColWidth="8.6640625" defaultRowHeight="14.4" x14ac:dyDescent="0.3"/>
  <cols>
    <col min="1" max="1" width="12" customWidth="1"/>
    <col min="2" max="2" width="14" customWidth="1"/>
    <col min="3" max="3" width="10" customWidth="1"/>
    <col min="4" max="4" width="20" customWidth="1"/>
    <col min="5" max="5" width="18" customWidth="1"/>
    <col min="6" max="6" width="14" customWidth="1"/>
    <col min="7" max="7" width="10.33203125" customWidth="1"/>
    <col min="8" max="8" width="15" customWidth="1"/>
    <col min="9" max="9" width="17.77734375" customWidth="1"/>
  </cols>
  <sheetData>
    <row r="1" spans="1:9" ht="39.75" customHeight="1" x14ac:dyDescent="0.3">
      <c r="A1" s="48" t="s">
        <v>107</v>
      </c>
      <c r="B1" s="48"/>
      <c r="C1" s="48"/>
      <c r="D1" s="48"/>
      <c r="E1" s="48"/>
      <c r="F1" s="48"/>
      <c r="G1" s="48"/>
      <c r="H1" s="48"/>
      <c r="I1" s="48"/>
    </row>
    <row r="3" spans="1:9" x14ac:dyDescent="0.3">
      <c r="A3" s="31" t="s">
        <v>17</v>
      </c>
      <c r="B3" s="32" t="s">
        <v>18</v>
      </c>
      <c r="C3" s="32" t="s">
        <v>19</v>
      </c>
      <c r="D3" s="32" t="s">
        <v>108</v>
      </c>
      <c r="E3" s="32" t="s">
        <v>21</v>
      </c>
      <c r="F3" s="32" t="s">
        <v>22</v>
      </c>
      <c r="G3" s="32" t="s">
        <v>23</v>
      </c>
      <c r="H3" s="32" t="s">
        <v>24</v>
      </c>
      <c r="I3" s="33" t="s">
        <v>25</v>
      </c>
    </row>
    <row r="4" spans="1:9" x14ac:dyDescent="0.3">
      <c r="A4" s="16" t="s">
        <v>26</v>
      </c>
      <c r="B4" s="4">
        <v>45299</v>
      </c>
      <c r="C4" s="5" t="s">
        <v>6</v>
      </c>
      <c r="D4" s="5" t="s">
        <v>27</v>
      </c>
      <c r="E4" s="5" t="s">
        <v>28</v>
      </c>
      <c r="F4" s="5" t="s">
        <v>29</v>
      </c>
      <c r="G4" s="3">
        <v>3</v>
      </c>
      <c r="H4" s="6">
        <v>199.99</v>
      </c>
      <c r="I4" s="19">
        <v>599.97</v>
      </c>
    </row>
    <row r="5" spans="1:9" x14ac:dyDescent="0.3">
      <c r="A5" s="17" t="s">
        <v>30</v>
      </c>
      <c r="B5" s="8">
        <v>45294</v>
      </c>
      <c r="C5" s="2" t="s">
        <v>6</v>
      </c>
      <c r="D5" s="2" t="s">
        <v>31</v>
      </c>
      <c r="E5" s="2" t="s">
        <v>32</v>
      </c>
      <c r="F5" s="2" t="s">
        <v>29</v>
      </c>
      <c r="G5" s="7">
        <v>5</v>
      </c>
      <c r="H5" s="9">
        <v>599.99</v>
      </c>
      <c r="I5" s="20">
        <v>2999.95</v>
      </c>
    </row>
    <row r="6" spans="1:9" x14ac:dyDescent="0.3">
      <c r="A6" s="16" t="s">
        <v>109</v>
      </c>
      <c r="B6" s="4">
        <v>45294</v>
      </c>
      <c r="C6" s="5" t="s">
        <v>6</v>
      </c>
      <c r="D6" s="5" t="s">
        <v>78</v>
      </c>
      <c r="E6" s="5" t="s">
        <v>45</v>
      </c>
      <c r="F6" s="5" t="s">
        <v>46</v>
      </c>
      <c r="G6" s="3">
        <v>1</v>
      </c>
      <c r="H6" s="6">
        <v>9.99</v>
      </c>
      <c r="I6" s="19">
        <v>9.99</v>
      </c>
    </row>
    <row r="7" spans="1:9" x14ac:dyDescent="0.3">
      <c r="A7" s="17" t="s">
        <v>38</v>
      </c>
      <c r="B7" s="8">
        <v>45298</v>
      </c>
      <c r="C7" s="2" t="s">
        <v>6</v>
      </c>
      <c r="D7" s="2" t="s">
        <v>39</v>
      </c>
      <c r="E7" s="2" t="s">
        <v>32</v>
      </c>
      <c r="F7" s="2" t="s">
        <v>29</v>
      </c>
      <c r="G7" s="7">
        <v>5</v>
      </c>
      <c r="H7" s="9">
        <v>599.99</v>
      </c>
      <c r="I7" s="20">
        <v>2999.95</v>
      </c>
    </row>
    <row r="8" spans="1:9" x14ac:dyDescent="0.3">
      <c r="A8" s="16" t="s">
        <v>40</v>
      </c>
      <c r="B8" s="4">
        <v>45337</v>
      </c>
      <c r="C8" s="5" t="s">
        <v>41</v>
      </c>
      <c r="D8" s="5" t="s">
        <v>42</v>
      </c>
      <c r="E8" s="5" t="s">
        <v>43</v>
      </c>
      <c r="F8" s="5" t="s">
        <v>37</v>
      </c>
      <c r="G8" s="3">
        <v>2</v>
      </c>
      <c r="H8" s="6">
        <v>499.99</v>
      </c>
      <c r="I8" s="19">
        <v>999.98</v>
      </c>
    </row>
    <row r="9" spans="1:9" x14ac:dyDescent="0.3">
      <c r="A9" s="17" t="s">
        <v>33</v>
      </c>
      <c r="B9" s="8">
        <v>45345</v>
      </c>
      <c r="C9" s="2" t="s">
        <v>6</v>
      </c>
      <c r="D9" s="2" t="s">
        <v>44</v>
      </c>
      <c r="E9" s="2" t="s">
        <v>45</v>
      </c>
      <c r="F9" s="2" t="s">
        <v>46</v>
      </c>
      <c r="G9" s="7">
        <v>2</v>
      </c>
      <c r="H9" s="9">
        <v>9.99</v>
      </c>
      <c r="I9" s="20">
        <v>19.98</v>
      </c>
    </row>
    <row r="10" spans="1:9" x14ac:dyDescent="0.3">
      <c r="A10" s="16" t="s">
        <v>47</v>
      </c>
      <c r="B10" s="4">
        <v>45329</v>
      </c>
      <c r="C10" s="5" t="s">
        <v>48</v>
      </c>
      <c r="D10" s="5" t="s">
        <v>49</v>
      </c>
      <c r="E10" s="5" t="s">
        <v>50</v>
      </c>
      <c r="F10" s="5" t="s">
        <v>37</v>
      </c>
      <c r="G10" s="3">
        <v>2</v>
      </c>
      <c r="H10" s="6">
        <v>449.99</v>
      </c>
      <c r="I10" s="19">
        <v>899.98</v>
      </c>
    </row>
    <row r="11" spans="1:9" x14ac:dyDescent="0.3">
      <c r="A11" s="17" t="s">
        <v>110</v>
      </c>
      <c r="B11" s="8">
        <v>45326</v>
      </c>
      <c r="C11" s="2" t="s">
        <v>6</v>
      </c>
      <c r="D11" s="2" t="s">
        <v>27</v>
      </c>
      <c r="E11" s="2" t="s">
        <v>57</v>
      </c>
      <c r="F11" s="2" t="s">
        <v>37</v>
      </c>
      <c r="G11" s="7">
        <v>4</v>
      </c>
      <c r="H11" s="9">
        <v>49.99</v>
      </c>
      <c r="I11" s="20">
        <v>199.96</v>
      </c>
    </row>
    <row r="12" spans="1:9" x14ac:dyDescent="0.3">
      <c r="A12" s="16" t="s">
        <v>56</v>
      </c>
      <c r="B12" s="4">
        <v>45375</v>
      </c>
      <c r="C12" s="5" t="s">
        <v>48</v>
      </c>
      <c r="D12" s="5" t="s">
        <v>49</v>
      </c>
      <c r="E12" s="5" t="s">
        <v>57</v>
      </c>
      <c r="F12" s="5" t="s">
        <v>37</v>
      </c>
      <c r="G12" s="3">
        <v>1</v>
      </c>
      <c r="H12" s="6">
        <v>49.99</v>
      </c>
      <c r="I12" s="19">
        <v>49.99</v>
      </c>
    </row>
    <row r="13" spans="1:9" x14ac:dyDescent="0.3">
      <c r="A13" s="17" t="s">
        <v>58</v>
      </c>
      <c r="B13" s="8">
        <v>45354</v>
      </c>
      <c r="C13" s="2" t="s">
        <v>6</v>
      </c>
      <c r="D13" s="2" t="s">
        <v>42</v>
      </c>
      <c r="E13" s="2" t="s">
        <v>59</v>
      </c>
      <c r="F13" s="2" t="s">
        <v>37</v>
      </c>
      <c r="G13" s="7">
        <v>4</v>
      </c>
      <c r="H13" s="9">
        <v>79.989999999999995</v>
      </c>
      <c r="I13" s="20">
        <v>319.95999999999998</v>
      </c>
    </row>
    <row r="14" spans="1:9" x14ac:dyDescent="0.3">
      <c r="A14" s="16" t="s">
        <v>51</v>
      </c>
      <c r="B14" s="4">
        <v>45358</v>
      </c>
      <c r="C14" s="5" t="s">
        <v>48</v>
      </c>
      <c r="D14" s="5" t="s">
        <v>44</v>
      </c>
      <c r="E14" s="5" t="s">
        <v>60</v>
      </c>
      <c r="F14" s="5" t="s">
        <v>37</v>
      </c>
      <c r="G14" s="3">
        <v>5</v>
      </c>
      <c r="H14" s="6">
        <v>129.99</v>
      </c>
      <c r="I14" s="19">
        <v>649.95000000000005</v>
      </c>
    </row>
    <row r="15" spans="1:9" x14ac:dyDescent="0.3">
      <c r="A15" s="17" t="s">
        <v>61</v>
      </c>
      <c r="B15" s="8">
        <v>45376</v>
      </c>
      <c r="C15" s="2" t="s">
        <v>6</v>
      </c>
      <c r="D15" s="2" t="s">
        <v>27</v>
      </c>
      <c r="E15" s="2" t="s">
        <v>43</v>
      </c>
      <c r="F15" s="2" t="s">
        <v>37</v>
      </c>
      <c r="G15" s="7">
        <v>2</v>
      </c>
      <c r="H15" s="9">
        <v>499.99</v>
      </c>
      <c r="I15" s="20">
        <v>999.98</v>
      </c>
    </row>
    <row r="16" spans="1:9" x14ac:dyDescent="0.3">
      <c r="A16" s="16" t="s">
        <v>62</v>
      </c>
      <c r="B16" s="4">
        <v>45395</v>
      </c>
      <c r="C16" s="5" t="s">
        <v>53</v>
      </c>
      <c r="D16" s="5" t="s">
        <v>27</v>
      </c>
      <c r="E16" s="5" t="s">
        <v>63</v>
      </c>
      <c r="F16" s="5" t="s">
        <v>46</v>
      </c>
      <c r="G16" s="3">
        <v>1</v>
      </c>
      <c r="H16" s="6">
        <v>19.989999999999998</v>
      </c>
      <c r="I16" s="19">
        <v>19.989999999999998</v>
      </c>
    </row>
    <row r="17" spans="1:9" x14ac:dyDescent="0.3">
      <c r="A17" s="17" t="s">
        <v>64</v>
      </c>
      <c r="B17" s="8">
        <v>45394</v>
      </c>
      <c r="C17" s="2" t="s">
        <v>48</v>
      </c>
      <c r="D17" s="2" t="s">
        <v>65</v>
      </c>
      <c r="E17" s="2" t="s">
        <v>63</v>
      </c>
      <c r="F17" s="2" t="s">
        <v>46</v>
      </c>
      <c r="G17" s="7">
        <v>2</v>
      </c>
      <c r="H17" s="9">
        <v>19.989999999999998</v>
      </c>
      <c r="I17" s="20">
        <v>39.979999999999997</v>
      </c>
    </row>
    <row r="18" spans="1:9" x14ac:dyDescent="0.3">
      <c r="A18" s="16" t="s">
        <v>66</v>
      </c>
      <c r="B18" s="4">
        <v>45402</v>
      </c>
      <c r="C18" s="5" t="s">
        <v>48</v>
      </c>
      <c r="D18" s="5" t="s">
        <v>39</v>
      </c>
      <c r="E18" s="5" t="s">
        <v>57</v>
      </c>
      <c r="F18" s="5" t="s">
        <v>37</v>
      </c>
      <c r="G18" s="3">
        <v>1</v>
      </c>
      <c r="H18" s="6">
        <v>49.99</v>
      </c>
      <c r="I18" s="19">
        <v>49.99</v>
      </c>
    </row>
    <row r="19" spans="1:9" x14ac:dyDescent="0.3">
      <c r="A19" s="17" t="s">
        <v>111</v>
      </c>
      <c r="B19" s="8">
        <v>45397</v>
      </c>
      <c r="C19" s="2" t="s">
        <v>53</v>
      </c>
      <c r="D19" s="2" t="s">
        <v>31</v>
      </c>
      <c r="E19" s="2" t="s">
        <v>28</v>
      </c>
      <c r="F19" s="2" t="s">
        <v>29</v>
      </c>
      <c r="G19" s="7">
        <v>2</v>
      </c>
      <c r="H19" s="9">
        <v>199.99</v>
      </c>
      <c r="I19" s="20">
        <v>399.98</v>
      </c>
    </row>
    <row r="20" spans="1:9" x14ac:dyDescent="0.3">
      <c r="A20" s="16" t="s">
        <v>72</v>
      </c>
      <c r="B20" s="4">
        <v>45439</v>
      </c>
      <c r="C20" s="5" t="s">
        <v>53</v>
      </c>
      <c r="D20" s="5" t="s">
        <v>44</v>
      </c>
      <c r="E20" s="5" t="s">
        <v>50</v>
      </c>
      <c r="F20" s="5" t="s">
        <v>37</v>
      </c>
      <c r="G20" s="3">
        <v>3</v>
      </c>
      <c r="H20" s="6">
        <v>449.99</v>
      </c>
      <c r="I20" s="19">
        <v>1349.97</v>
      </c>
    </row>
    <row r="21" spans="1:9" x14ac:dyDescent="0.3">
      <c r="A21" s="17" t="s">
        <v>73</v>
      </c>
      <c r="B21" s="8">
        <v>45425</v>
      </c>
      <c r="C21" s="2" t="s">
        <v>6</v>
      </c>
      <c r="D21" s="2" t="s">
        <v>39</v>
      </c>
      <c r="E21" s="2" t="s">
        <v>36</v>
      </c>
      <c r="F21" s="2" t="s">
        <v>37</v>
      </c>
      <c r="G21" s="7">
        <v>3</v>
      </c>
      <c r="H21" s="9">
        <v>1299.99</v>
      </c>
      <c r="I21" s="20">
        <v>3899.97</v>
      </c>
    </row>
    <row r="22" spans="1:9" x14ac:dyDescent="0.3">
      <c r="A22" s="16" t="s">
        <v>67</v>
      </c>
      <c r="B22" s="4">
        <v>45435</v>
      </c>
      <c r="C22" s="5" t="s">
        <v>53</v>
      </c>
      <c r="D22" s="5" t="s">
        <v>27</v>
      </c>
      <c r="E22" s="5" t="s">
        <v>63</v>
      </c>
      <c r="F22" s="5" t="s">
        <v>46</v>
      </c>
      <c r="G22" s="3">
        <v>5</v>
      </c>
      <c r="H22" s="6">
        <v>19.989999999999998</v>
      </c>
      <c r="I22" s="19">
        <v>99.95</v>
      </c>
    </row>
    <row r="23" spans="1:9" x14ac:dyDescent="0.3">
      <c r="A23" s="17" t="s">
        <v>74</v>
      </c>
      <c r="B23" s="8">
        <v>45433</v>
      </c>
      <c r="C23" s="2" t="s">
        <v>41</v>
      </c>
      <c r="D23" s="2" t="s">
        <v>39</v>
      </c>
      <c r="E23" s="2" t="s">
        <v>57</v>
      </c>
      <c r="F23" s="2" t="s">
        <v>37</v>
      </c>
      <c r="G23" s="7">
        <v>4</v>
      </c>
      <c r="H23" s="9">
        <v>49.99</v>
      </c>
      <c r="I23" s="20">
        <v>199.96</v>
      </c>
    </row>
    <row r="24" spans="1:9" x14ac:dyDescent="0.3">
      <c r="A24" s="16" t="s">
        <v>75</v>
      </c>
      <c r="B24" s="4">
        <v>45451</v>
      </c>
      <c r="C24" s="5" t="s">
        <v>48</v>
      </c>
      <c r="D24" s="5" t="s">
        <v>31</v>
      </c>
      <c r="E24" s="5" t="s">
        <v>59</v>
      </c>
      <c r="F24" s="5" t="s">
        <v>37</v>
      </c>
      <c r="G24" s="3">
        <v>2</v>
      </c>
      <c r="H24" s="6">
        <v>79.989999999999995</v>
      </c>
      <c r="I24" s="19">
        <v>159.97999999999999</v>
      </c>
    </row>
    <row r="25" spans="1:9" x14ac:dyDescent="0.3">
      <c r="A25" s="17" t="s">
        <v>76</v>
      </c>
      <c r="B25" s="8">
        <v>45457</v>
      </c>
      <c r="C25" s="2" t="s">
        <v>48</v>
      </c>
      <c r="D25" s="2" t="s">
        <v>42</v>
      </c>
      <c r="E25" s="2" t="s">
        <v>43</v>
      </c>
      <c r="F25" s="2" t="s">
        <v>37</v>
      </c>
      <c r="G25" s="7">
        <v>5</v>
      </c>
      <c r="H25" s="9">
        <v>499.99</v>
      </c>
      <c r="I25" s="20">
        <v>2499.9499999999998</v>
      </c>
    </row>
    <row r="26" spans="1:9" x14ac:dyDescent="0.3">
      <c r="A26" s="16" t="s">
        <v>77</v>
      </c>
      <c r="B26" s="4">
        <v>45448</v>
      </c>
      <c r="C26" s="5" t="s">
        <v>48</v>
      </c>
      <c r="D26" s="5" t="s">
        <v>78</v>
      </c>
      <c r="E26" s="5" t="s">
        <v>45</v>
      </c>
      <c r="F26" s="5" t="s">
        <v>46</v>
      </c>
      <c r="G26" s="3">
        <v>2</v>
      </c>
      <c r="H26" s="6">
        <v>9.99</v>
      </c>
      <c r="I26" s="19">
        <v>19.98</v>
      </c>
    </row>
    <row r="27" spans="1:9" x14ac:dyDescent="0.3">
      <c r="A27" s="17" t="s">
        <v>79</v>
      </c>
      <c r="B27" s="8">
        <v>45471</v>
      </c>
      <c r="C27" s="2" t="s">
        <v>6</v>
      </c>
      <c r="D27" s="2" t="s">
        <v>65</v>
      </c>
      <c r="E27" s="2" t="s">
        <v>60</v>
      </c>
      <c r="F27" s="2" t="s">
        <v>37</v>
      </c>
      <c r="G27" s="7">
        <v>1</v>
      </c>
      <c r="H27" s="9">
        <v>129.99</v>
      </c>
      <c r="I27" s="20">
        <v>129.99</v>
      </c>
    </row>
    <row r="28" spans="1:9" x14ac:dyDescent="0.3">
      <c r="A28" s="16" t="s">
        <v>80</v>
      </c>
      <c r="B28" s="4">
        <v>45493</v>
      </c>
      <c r="C28" s="5" t="s">
        <v>53</v>
      </c>
      <c r="D28" s="5" t="s">
        <v>31</v>
      </c>
      <c r="E28" s="5" t="s">
        <v>81</v>
      </c>
      <c r="F28" s="5" t="s">
        <v>37</v>
      </c>
      <c r="G28" s="3">
        <v>4</v>
      </c>
      <c r="H28" s="6">
        <v>29.99</v>
      </c>
      <c r="I28" s="19">
        <v>119.96</v>
      </c>
    </row>
    <row r="29" spans="1:9" x14ac:dyDescent="0.3">
      <c r="A29" s="17" t="s">
        <v>82</v>
      </c>
      <c r="B29" s="8">
        <v>45488</v>
      </c>
      <c r="C29" s="2" t="s">
        <v>41</v>
      </c>
      <c r="D29" s="2" t="s">
        <v>78</v>
      </c>
      <c r="E29" s="2" t="s">
        <v>81</v>
      </c>
      <c r="F29" s="2" t="s">
        <v>37</v>
      </c>
      <c r="G29" s="7">
        <v>5</v>
      </c>
      <c r="H29" s="9">
        <v>29.99</v>
      </c>
      <c r="I29" s="20">
        <v>149.94999999999999</v>
      </c>
    </row>
    <row r="30" spans="1:9" x14ac:dyDescent="0.3">
      <c r="A30" s="16" t="s">
        <v>83</v>
      </c>
      <c r="B30" s="4">
        <v>45495</v>
      </c>
      <c r="C30" s="5" t="s">
        <v>6</v>
      </c>
      <c r="D30" s="5" t="s">
        <v>44</v>
      </c>
      <c r="E30" s="5" t="s">
        <v>60</v>
      </c>
      <c r="F30" s="5" t="s">
        <v>37</v>
      </c>
      <c r="G30" s="3">
        <v>1</v>
      </c>
      <c r="H30" s="6">
        <v>129.99</v>
      </c>
      <c r="I30" s="19">
        <v>129.99</v>
      </c>
    </row>
    <row r="31" spans="1:9" x14ac:dyDescent="0.3">
      <c r="A31" s="17" t="s">
        <v>84</v>
      </c>
      <c r="B31" s="8">
        <v>45483</v>
      </c>
      <c r="C31" s="2" t="s">
        <v>48</v>
      </c>
      <c r="D31" s="2" t="s">
        <v>44</v>
      </c>
      <c r="E31" s="2" t="s">
        <v>60</v>
      </c>
      <c r="F31" s="2" t="s">
        <v>37</v>
      </c>
      <c r="G31" s="7">
        <v>1</v>
      </c>
      <c r="H31" s="9">
        <v>129.99</v>
      </c>
      <c r="I31" s="20">
        <v>129.99</v>
      </c>
    </row>
    <row r="32" spans="1:9" x14ac:dyDescent="0.3">
      <c r="A32" s="16" t="s">
        <v>85</v>
      </c>
      <c r="B32" s="4">
        <v>45528</v>
      </c>
      <c r="C32" s="5" t="s">
        <v>41</v>
      </c>
      <c r="D32" s="5" t="s">
        <v>31</v>
      </c>
      <c r="E32" s="5" t="s">
        <v>50</v>
      </c>
      <c r="F32" s="5" t="s">
        <v>37</v>
      </c>
      <c r="G32" s="3">
        <v>1</v>
      </c>
      <c r="H32" s="6">
        <v>449.99</v>
      </c>
      <c r="I32" s="19">
        <v>449.99</v>
      </c>
    </row>
    <row r="33" spans="1:9" x14ac:dyDescent="0.3">
      <c r="A33" s="17" t="s">
        <v>86</v>
      </c>
      <c r="B33" s="8">
        <v>45508</v>
      </c>
      <c r="C33" s="2" t="s">
        <v>53</v>
      </c>
      <c r="D33" s="2" t="s">
        <v>44</v>
      </c>
      <c r="E33" s="2" t="s">
        <v>43</v>
      </c>
      <c r="F33" s="2" t="s">
        <v>37</v>
      </c>
      <c r="G33" s="7">
        <v>5</v>
      </c>
      <c r="H33" s="9">
        <v>499.99</v>
      </c>
      <c r="I33" s="20">
        <v>2499.9499999999998</v>
      </c>
    </row>
    <row r="34" spans="1:9" x14ac:dyDescent="0.3">
      <c r="A34" s="16" t="s">
        <v>87</v>
      </c>
      <c r="B34" s="4">
        <v>45516</v>
      </c>
      <c r="C34" s="5" t="s">
        <v>53</v>
      </c>
      <c r="D34" s="5" t="s">
        <v>44</v>
      </c>
      <c r="E34" s="5" t="s">
        <v>28</v>
      </c>
      <c r="F34" s="5" t="s">
        <v>29</v>
      </c>
      <c r="G34" s="3">
        <v>2</v>
      </c>
      <c r="H34" s="6">
        <v>199.99</v>
      </c>
      <c r="I34" s="19">
        <v>399.98</v>
      </c>
    </row>
    <row r="35" spans="1:9" x14ac:dyDescent="0.3">
      <c r="A35" s="17" t="s">
        <v>88</v>
      </c>
      <c r="B35" s="8">
        <v>45515</v>
      </c>
      <c r="C35" s="2" t="s">
        <v>6</v>
      </c>
      <c r="D35" s="2" t="s">
        <v>42</v>
      </c>
      <c r="E35" s="2" t="s">
        <v>54</v>
      </c>
      <c r="F35" s="2" t="s">
        <v>29</v>
      </c>
      <c r="G35" s="7">
        <v>5</v>
      </c>
      <c r="H35" s="9">
        <v>349.99</v>
      </c>
      <c r="I35" s="20">
        <v>1749.95</v>
      </c>
    </row>
    <row r="36" spans="1:9" x14ac:dyDescent="0.3">
      <c r="A36" s="16" t="s">
        <v>89</v>
      </c>
      <c r="B36" s="4">
        <v>45562</v>
      </c>
      <c r="C36" s="5" t="s">
        <v>6</v>
      </c>
      <c r="D36" s="5" t="s">
        <v>90</v>
      </c>
      <c r="E36" s="5" t="s">
        <v>59</v>
      </c>
      <c r="F36" s="5" t="s">
        <v>37</v>
      </c>
      <c r="G36" s="3">
        <v>3</v>
      </c>
      <c r="H36" s="6">
        <v>79.989999999999995</v>
      </c>
      <c r="I36" s="19">
        <v>239.97</v>
      </c>
    </row>
    <row r="37" spans="1:9" x14ac:dyDescent="0.3">
      <c r="A37" s="17" t="s">
        <v>91</v>
      </c>
      <c r="B37" s="8">
        <v>45554</v>
      </c>
      <c r="C37" s="2" t="s">
        <v>6</v>
      </c>
      <c r="D37" s="2" t="s">
        <v>39</v>
      </c>
      <c r="E37" s="2" t="s">
        <v>63</v>
      </c>
      <c r="F37" s="2" t="s">
        <v>46</v>
      </c>
      <c r="G37" s="7">
        <v>2</v>
      </c>
      <c r="H37" s="9">
        <v>19.989999999999998</v>
      </c>
      <c r="I37" s="20">
        <v>39.979999999999997</v>
      </c>
    </row>
    <row r="38" spans="1:9" x14ac:dyDescent="0.3">
      <c r="A38" s="16" t="s">
        <v>92</v>
      </c>
      <c r="B38" s="4">
        <v>45560</v>
      </c>
      <c r="C38" s="5" t="s">
        <v>41</v>
      </c>
      <c r="D38" s="5" t="s">
        <v>27</v>
      </c>
      <c r="E38" s="5" t="s">
        <v>81</v>
      </c>
      <c r="F38" s="5" t="s">
        <v>37</v>
      </c>
      <c r="G38" s="3">
        <v>1</v>
      </c>
      <c r="H38" s="6">
        <v>29.99</v>
      </c>
      <c r="I38" s="19">
        <v>29.99</v>
      </c>
    </row>
    <row r="39" spans="1:9" x14ac:dyDescent="0.3">
      <c r="A39" s="17" t="s">
        <v>93</v>
      </c>
      <c r="B39" s="8">
        <v>45553</v>
      </c>
      <c r="C39" s="2" t="s">
        <v>53</v>
      </c>
      <c r="D39" s="2" t="s">
        <v>31</v>
      </c>
      <c r="E39" s="2" t="s">
        <v>60</v>
      </c>
      <c r="F39" s="2" t="s">
        <v>37</v>
      </c>
      <c r="G39" s="7">
        <v>4</v>
      </c>
      <c r="H39" s="9">
        <v>129.99</v>
      </c>
      <c r="I39" s="20">
        <v>519.96</v>
      </c>
    </row>
    <row r="40" spans="1:9" x14ac:dyDescent="0.3">
      <c r="A40" s="16" t="s">
        <v>94</v>
      </c>
      <c r="B40" s="4">
        <v>45583</v>
      </c>
      <c r="C40" s="5" t="s">
        <v>41</v>
      </c>
      <c r="D40" s="5" t="s">
        <v>44</v>
      </c>
      <c r="E40" s="5" t="s">
        <v>54</v>
      </c>
      <c r="F40" s="5" t="s">
        <v>29</v>
      </c>
      <c r="G40" s="3">
        <v>2</v>
      </c>
      <c r="H40" s="6">
        <v>349.99</v>
      </c>
      <c r="I40" s="19">
        <v>699.98</v>
      </c>
    </row>
    <row r="41" spans="1:9" x14ac:dyDescent="0.3">
      <c r="A41" s="17" t="s">
        <v>95</v>
      </c>
      <c r="B41" s="8">
        <v>45587</v>
      </c>
      <c r="C41" s="2" t="s">
        <v>48</v>
      </c>
      <c r="D41" s="2" t="s">
        <v>39</v>
      </c>
      <c r="E41" s="2" t="s">
        <v>43</v>
      </c>
      <c r="F41" s="2" t="s">
        <v>37</v>
      </c>
      <c r="G41" s="7">
        <v>4</v>
      </c>
      <c r="H41" s="9">
        <v>499.99</v>
      </c>
      <c r="I41" s="20">
        <v>1999.96</v>
      </c>
    </row>
    <row r="42" spans="1:9" x14ac:dyDescent="0.3">
      <c r="A42" s="16" t="s">
        <v>96</v>
      </c>
      <c r="B42" s="4">
        <v>45580</v>
      </c>
      <c r="C42" s="5" t="s">
        <v>41</v>
      </c>
      <c r="D42" s="5" t="s">
        <v>49</v>
      </c>
      <c r="E42" s="5" t="s">
        <v>28</v>
      </c>
      <c r="F42" s="5" t="s">
        <v>29</v>
      </c>
      <c r="G42" s="3">
        <v>5</v>
      </c>
      <c r="H42" s="6">
        <v>199.99</v>
      </c>
      <c r="I42" s="19">
        <v>999.95</v>
      </c>
    </row>
    <row r="43" spans="1:9" x14ac:dyDescent="0.3">
      <c r="A43" s="17" t="s">
        <v>97</v>
      </c>
      <c r="B43" s="8">
        <v>45576</v>
      </c>
      <c r="C43" s="2" t="s">
        <v>53</v>
      </c>
      <c r="D43" s="2" t="s">
        <v>39</v>
      </c>
      <c r="E43" s="2" t="s">
        <v>81</v>
      </c>
      <c r="F43" s="2" t="s">
        <v>37</v>
      </c>
      <c r="G43" s="7">
        <v>1</v>
      </c>
      <c r="H43" s="9">
        <v>29.99</v>
      </c>
      <c r="I43" s="20">
        <v>29.99</v>
      </c>
    </row>
    <row r="44" spans="1:9" x14ac:dyDescent="0.3">
      <c r="A44" s="16" t="s">
        <v>98</v>
      </c>
      <c r="B44" s="4">
        <v>45604</v>
      </c>
      <c r="C44" s="5" t="s">
        <v>53</v>
      </c>
      <c r="D44" s="5" t="s">
        <v>99</v>
      </c>
      <c r="E44" s="5" t="s">
        <v>36</v>
      </c>
      <c r="F44" s="5" t="s">
        <v>37</v>
      </c>
      <c r="G44" s="3">
        <v>5</v>
      </c>
      <c r="H44" s="6">
        <v>1299.99</v>
      </c>
      <c r="I44" s="19">
        <v>6499.95</v>
      </c>
    </row>
    <row r="45" spans="1:9" x14ac:dyDescent="0.3">
      <c r="A45" s="17" t="s">
        <v>100</v>
      </c>
      <c r="B45" s="8">
        <v>45599</v>
      </c>
      <c r="C45" s="2" t="s">
        <v>6</v>
      </c>
      <c r="D45" s="2" t="s">
        <v>27</v>
      </c>
      <c r="E45" s="2" t="s">
        <v>36</v>
      </c>
      <c r="F45" s="2" t="s">
        <v>37</v>
      </c>
      <c r="G45" s="7">
        <v>2</v>
      </c>
      <c r="H45" s="9">
        <v>1299.99</v>
      </c>
      <c r="I45" s="20">
        <v>2599.98</v>
      </c>
    </row>
    <row r="46" spans="1:9" x14ac:dyDescent="0.3">
      <c r="A46" s="16" t="s">
        <v>101</v>
      </c>
      <c r="B46" s="4">
        <v>45604</v>
      </c>
      <c r="C46" s="5" t="s">
        <v>6</v>
      </c>
      <c r="D46" s="5" t="s">
        <v>49</v>
      </c>
      <c r="E46" s="5" t="s">
        <v>36</v>
      </c>
      <c r="F46" s="5" t="s">
        <v>37</v>
      </c>
      <c r="G46" s="3">
        <v>5</v>
      </c>
      <c r="H46" s="6">
        <v>1299.99</v>
      </c>
      <c r="I46" s="19">
        <v>6499.95</v>
      </c>
    </row>
    <row r="47" spans="1:9" x14ac:dyDescent="0.3">
      <c r="A47" s="17" t="s">
        <v>102</v>
      </c>
      <c r="B47" s="8">
        <v>45601</v>
      </c>
      <c r="C47" s="2" t="s">
        <v>53</v>
      </c>
      <c r="D47" s="2" t="s">
        <v>65</v>
      </c>
      <c r="E47" s="2" t="s">
        <v>63</v>
      </c>
      <c r="F47" s="2" t="s">
        <v>46</v>
      </c>
      <c r="G47" s="7">
        <v>5</v>
      </c>
      <c r="H47" s="9">
        <v>19.989999999999998</v>
      </c>
      <c r="I47" s="20">
        <v>99.95</v>
      </c>
    </row>
    <row r="48" spans="1:9" x14ac:dyDescent="0.3">
      <c r="A48" s="16" t="s">
        <v>103</v>
      </c>
      <c r="B48" s="4">
        <v>45652</v>
      </c>
      <c r="C48" s="5" t="s">
        <v>41</v>
      </c>
      <c r="D48" s="5" t="s">
        <v>99</v>
      </c>
      <c r="E48" s="5" t="s">
        <v>43</v>
      </c>
      <c r="F48" s="5" t="s">
        <v>37</v>
      </c>
      <c r="G48" s="3">
        <v>2</v>
      </c>
      <c r="H48" s="6">
        <v>499.99</v>
      </c>
      <c r="I48" s="19">
        <v>999.98</v>
      </c>
    </row>
    <row r="49" spans="1:9" x14ac:dyDescent="0.3">
      <c r="A49" s="17" t="s">
        <v>104</v>
      </c>
      <c r="B49" s="8">
        <v>45630</v>
      </c>
      <c r="C49" s="2" t="s">
        <v>53</v>
      </c>
      <c r="D49" s="2" t="s">
        <v>78</v>
      </c>
      <c r="E49" s="2" t="s">
        <v>59</v>
      </c>
      <c r="F49" s="2" t="s">
        <v>37</v>
      </c>
      <c r="G49" s="7">
        <v>1</v>
      </c>
      <c r="H49" s="9">
        <v>79.989999999999995</v>
      </c>
      <c r="I49" s="20">
        <v>79.989999999999995</v>
      </c>
    </row>
    <row r="50" spans="1:9" x14ac:dyDescent="0.3">
      <c r="A50" s="16" t="s">
        <v>105</v>
      </c>
      <c r="B50" s="4">
        <v>45640</v>
      </c>
      <c r="C50" s="5" t="s">
        <v>48</v>
      </c>
      <c r="D50" s="5" t="s">
        <v>78</v>
      </c>
      <c r="E50" s="5" t="s">
        <v>28</v>
      </c>
      <c r="F50" s="5" t="s">
        <v>29</v>
      </c>
      <c r="G50" s="3">
        <v>4</v>
      </c>
      <c r="H50" s="6">
        <v>199.99</v>
      </c>
      <c r="I50" s="19">
        <v>799.96</v>
      </c>
    </row>
    <row r="51" spans="1:9" x14ac:dyDescent="0.3">
      <c r="A51" s="26" t="s">
        <v>106</v>
      </c>
      <c r="B51" s="27">
        <v>45639</v>
      </c>
      <c r="C51" s="28" t="s">
        <v>6</v>
      </c>
      <c r="D51" s="28" t="s">
        <v>90</v>
      </c>
      <c r="E51" s="28" t="s">
        <v>59</v>
      </c>
      <c r="F51" s="28" t="s">
        <v>37</v>
      </c>
      <c r="G51" s="34">
        <v>1</v>
      </c>
      <c r="H51" s="29">
        <v>79.989999999999995</v>
      </c>
      <c r="I51" s="30">
        <v>79.989999999999995</v>
      </c>
    </row>
    <row r="52" spans="1:9" ht="21.75" customHeight="1" x14ac:dyDescent="0.3">
      <c r="A52" s="49" t="s">
        <v>112</v>
      </c>
      <c r="B52" s="49"/>
      <c r="C52" s="49"/>
      <c r="D52" s="49"/>
      <c r="E52" s="49"/>
      <c r="F52" s="49"/>
      <c r="G52" s="49"/>
      <c r="H52" s="49"/>
      <c r="I52" s="13">
        <f>SUM(I4:I51)</f>
        <v>47468.62</v>
      </c>
    </row>
  </sheetData>
  <mergeCells count="2">
    <mergeCell ref="A1:I1"/>
    <mergeCell ref="A52:H52"/>
  </mergeCell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A4" sqref="A4"/>
    </sheetView>
  </sheetViews>
  <sheetFormatPr defaultRowHeight="14.4" x14ac:dyDescent="0.3"/>
  <cols>
    <col min="1" max="1" width="14" customWidth="1"/>
    <col min="2" max="2" width="21.33203125" customWidth="1"/>
    <col min="3" max="3" width="21.33203125" bestFit="1" customWidth="1"/>
  </cols>
  <sheetData>
    <row r="3" spans="1:2" x14ac:dyDescent="0.3">
      <c r="A3" s="50" t="s">
        <v>131</v>
      </c>
      <c r="B3" t="s">
        <v>130</v>
      </c>
    </row>
    <row r="4" spans="1:2" x14ac:dyDescent="0.3">
      <c r="A4" s="51" t="s">
        <v>28</v>
      </c>
      <c r="B4" s="61">
        <v>639.96800000000007</v>
      </c>
    </row>
    <row r="5" spans="1:2" x14ac:dyDescent="0.3">
      <c r="A5" s="51" t="s">
        <v>60</v>
      </c>
      <c r="B5" s="61">
        <v>311.976</v>
      </c>
    </row>
    <row r="6" spans="1:2" x14ac:dyDescent="0.3">
      <c r="A6" s="51" t="s">
        <v>36</v>
      </c>
      <c r="B6" s="61">
        <v>4874.9624999999996</v>
      </c>
    </row>
    <row r="7" spans="1:2" x14ac:dyDescent="0.3">
      <c r="A7" s="51" t="s">
        <v>50</v>
      </c>
      <c r="B7" s="61">
        <v>899.98</v>
      </c>
    </row>
    <row r="8" spans="1:2" x14ac:dyDescent="0.3">
      <c r="A8" s="51" t="s">
        <v>63</v>
      </c>
      <c r="B8" s="61">
        <v>59.970000000000006</v>
      </c>
    </row>
    <row r="9" spans="1:2" x14ac:dyDescent="0.3">
      <c r="A9" s="51" t="s">
        <v>54</v>
      </c>
      <c r="B9" s="61">
        <v>1224.9649999999999</v>
      </c>
    </row>
    <row r="10" spans="1:2" x14ac:dyDescent="0.3">
      <c r="A10" s="51" t="s">
        <v>45</v>
      </c>
      <c r="B10" s="61">
        <v>16.650000000000002</v>
      </c>
    </row>
    <row r="11" spans="1:2" x14ac:dyDescent="0.3">
      <c r="A11" s="51" t="s">
        <v>32</v>
      </c>
      <c r="B11" s="61">
        <v>2999.95</v>
      </c>
    </row>
    <row r="12" spans="1:2" x14ac:dyDescent="0.3">
      <c r="A12" s="51" t="s">
        <v>43</v>
      </c>
      <c r="B12" s="61">
        <v>1666.6333333333332</v>
      </c>
    </row>
    <row r="13" spans="1:2" x14ac:dyDescent="0.3">
      <c r="A13" s="51" t="s">
        <v>57</v>
      </c>
      <c r="B13" s="61">
        <v>124.97499999999999</v>
      </c>
    </row>
    <row r="14" spans="1:2" x14ac:dyDescent="0.3">
      <c r="A14" s="51" t="s">
        <v>59</v>
      </c>
      <c r="B14" s="61">
        <v>175.97800000000001</v>
      </c>
    </row>
    <row r="15" spans="1:2" x14ac:dyDescent="0.3">
      <c r="A15" s="51" t="s">
        <v>81</v>
      </c>
      <c r="B15" s="61">
        <v>82.472499999999997</v>
      </c>
    </row>
    <row r="16" spans="1:2" x14ac:dyDescent="0.3">
      <c r="A16" s="51" t="s">
        <v>132</v>
      </c>
      <c r="B16" s="61">
        <v>988.92958333333343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26" sqref="A26"/>
    </sheetView>
  </sheetViews>
  <sheetFormatPr defaultRowHeight="14.4" x14ac:dyDescent="0.3"/>
  <cols>
    <col min="1" max="1" width="12.5546875" bestFit="1" customWidth="1"/>
    <col min="2" max="2" width="22.109375" bestFit="1" customWidth="1"/>
  </cols>
  <sheetData>
    <row r="3" spans="1:2" x14ac:dyDescent="0.3">
      <c r="A3" s="50" t="s">
        <v>131</v>
      </c>
      <c r="B3" t="s">
        <v>133</v>
      </c>
    </row>
    <row r="4" spans="1:2" x14ac:dyDescent="0.3">
      <c r="A4" s="51" t="s">
        <v>48</v>
      </c>
      <c r="B4" s="52">
        <v>7299.71</v>
      </c>
    </row>
    <row r="5" spans="1:2" x14ac:dyDescent="0.3">
      <c r="A5" s="51" t="s">
        <v>6</v>
      </c>
      <c r="B5" s="52">
        <v>23519.51</v>
      </c>
    </row>
    <row r="6" spans="1:2" x14ac:dyDescent="0.3">
      <c r="A6" s="51" t="s">
        <v>53</v>
      </c>
      <c r="B6" s="52">
        <v>12119.62</v>
      </c>
    </row>
    <row r="7" spans="1:2" x14ac:dyDescent="0.3">
      <c r="A7" s="51" t="s">
        <v>41</v>
      </c>
      <c r="B7" s="52">
        <v>4529.78</v>
      </c>
    </row>
    <row r="8" spans="1:2" x14ac:dyDescent="0.3">
      <c r="A8" s="51" t="s">
        <v>132</v>
      </c>
      <c r="B8" s="52">
        <v>47468.62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B10" sqref="B10"/>
    </sheetView>
  </sheetViews>
  <sheetFormatPr defaultRowHeight="14.4" x14ac:dyDescent="0.3"/>
  <cols>
    <col min="1" max="1" width="14" bestFit="1" customWidth="1"/>
    <col min="2" max="2" width="22.109375" bestFit="1" customWidth="1"/>
  </cols>
  <sheetData>
    <row r="3" spans="1:2" x14ac:dyDescent="0.3">
      <c r="A3" s="50" t="s">
        <v>131</v>
      </c>
      <c r="B3" t="s">
        <v>133</v>
      </c>
    </row>
    <row r="4" spans="1:2" x14ac:dyDescent="0.3">
      <c r="A4" s="51" t="s">
        <v>28</v>
      </c>
      <c r="B4" s="52">
        <v>3199.84</v>
      </c>
    </row>
    <row r="5" spans="1:2" x14ac:dyDescent="0.3">
      <c r="A5" s="51" t="s">
        <v>60</v>
      </c>
      <c r="B5" s="52">
        <v>1559.88</v>
      </c>
    </row>
    <row r="6" spans="1:2" x14ac:dyDescent="0.3">
      <c r="A6" s="51" t="s">
        <v>36</v>
      </c>
      <c r="B6" s="52">
        <v>19499.849999999999</v>
      </c>
    </row>
    <row r="7" spans="1:2" x14ac:dyDescent="0.3">
      <c r="A7" s="51" t="s">
        <v>50</v>
      </c>
      <c r="B7" s="52">
        <v>2699.94</v>
      </c>
    </row>
    <row r="8" spans="1:2" x14ac:dyDescent="0.3">
      <c r="A8" s="51" t="s">
        <v>63</v>
      </c>
      <c r="B8" s="52">
        <v>299.85000000000002</v>
      </c>
    </row>
    <row r="9" spans="1:2" x14ac:dyDescent="0.3">
      <c r="A9" s="51" t="s">
        <v>54</v>
      </c>
      <c r="B9" s="52">
        <v>2449.9299999999998</v>
      </c>
    </row>
    <row r="10" spans="1:2" x14ac:dyDescent="0.3">
      <c r="A10" s="51" t="s">
        <v>45</v>
      </c>
      <c r="B10" s="52">
        <v>49.95</v>
      </c>
    </row>
    <row r="11" spans="1:2" x14ac:dyDescent="0.3">
      <c r="A11" s="51" t="s">
        <v>32</v>
      </c>
      <c r="B11" s="52">
        <v>5999.9</v>
      </c>
    </row>
    <row r="12" spans="1:2" x14ac:dyDescent="0.3">
      <c r="A12" s="51" t="s">
        <v>43</v>
      </c>
      <c r="B12" s="52">
        <v>9999.7999999999993</v>
      </c>
    </row>
    <row r="13" spans="1:2" x14ac:dyDescent="0.3">
      <c r="A13" s="51" t="s">
        <v>57</v>
      </c>
      <c r="B13" s="52">
        <v>499.9</v>
      </c>
    </row>
    <row r="14" spans="1:2" x14ac:dyDescent="0.3">
      <c r="A14" s="51" t="s">
        <v>59</v>
      </c>
      <c r="B14" s="52">
        <v>879.89</v>
      </c>
    </row>
    <row r="15" spans="1:2" x14ac:dyDescent="0.3">
      <c r="A15" s="51" t="s">
        <v>81</v>
      </c>
      <c r="B15" s="52">
        <v>329.89</v>
      </c>
    </row>
    <row r="16" spans="1:2" x14ac:dyDescent="0.3">
      <c r="A16" s="51" t="s">
        <v>132</v>
      </c>
      <c r="B16" s="52">
        <v>47468.62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0"/>
  <sheetViews>
    <sheetView topLeftCell="A34" workbookViewId="0">
      <selection activeCell="A64" sqref="A64"/>
    </sheetView>
  </sheetViews>
  <sheetFormatPr defaultRowHeight="14.4" x14ac:dyDescent="0.3"/>
  <cols>
    <col min="1" max="1" width="12.5546875" bestFit="1" customWidth="1"/>
    <col min="2" max="2" width="22.109375" bestFit="1" customWidth="1"/>
  </cols>
  <sheetData>
    <row r="3" spans="1:2" x14ac:dyDescent="0.3">
      <c r="A3" s="50" t="s">
        <v>131</v>
      </c>
      <c r="B3" t="s">
        <v>133</v>
      </c>
    </row>
    <row r="4" spans="1:2" x14ac:dyDescent="0.3">
      <c r="A4" s="53">
        <v>45294</v>
      </c>
      <c r="B4" s="52">
        <v>3009.94</v>
      </c>
    </row>
    <row r="5" spans="1:2" x14ac:dyDescent="0.3">
      <c r="A5" s="53">
        <v>45298</v>
      </c>
      <c r="B5" s="52">
        <v>2999.95</v>
      </c>
    </row>
    <row r="6" spans="1:2" x14ac:dyDescent="0.3">
      <c r="A6" s="53">
        <v>45299</v>
      </c>
      <c r="B6" s="52">
        <v>599.97</v>
      </c>
    </row>
    <row r="7" spans="1:2" x14ac:dyDescent="0.3">
      <c r="A7" s="53">
        <v>45326</v>
      </c>
      <c r="B7" s="52">
        <v>199.96</v>
      </c>
    </row>
    <row r="8" spans="1:2" x14ac:dyDescent="0.3">
      <c r="A8" s="53">
        <v>45329</v>
      </c>
      <c r="B8" s="52">
        <v>899.98</v>
      </c>
    </row>
    <row r="9" spans="1:2" x14ac:dyDescent="0.3">
      <c r="A9" s="53">
        <v>45337</v>
      </c>
      <c r="B9" s="52">
        <v>999.98</v>
      </c>
    </row>
    <row r="10" spans="1:2" x14ac:dyDescent="0.3">
      <c r="A10" s="53">
        <v>45345</v>
      </c>
      <c r="B10" s="52">
        <v>19.98</v>
      </c>
    </row>
    <row r="11" spans="1:2" x14ac:dyDescent="0.3">
      <c r="A11" s="53">
        <v>45354</v>
      </c>
      <c r="B11" s="52">
        <v>319.95999999999998</v>
      </c>
    </row>
    <row r="12" spans="1:2" x14ac:dyDescent="0.3">
      <c r="A12" s="53">
        <v>45358</v>
      </c>
      <c r="B12" s="52">
        <v>649.95000000000005</v>
      </c>
    </row>
    <row r="13" spans="1:2" x14ac:dyDescent="0.3">
      <c r="A13" s="53">
        <v>45375</v>
      </c>
      <c r="B13" s="52">
        <v>49.99</v>
      </c>
    </row>
    <row r="14" spans="1:2" x14ac:dyDescent="0.3">
      <c r="A14" s="53">
        <v>45376</v>
      </c>
      <c r="B14" s="52">
        <v>999.98</v>
      </c>
    </row>
    <row r="15" spans="1:2" x14ac:dyDescent="0.3">
      <c r="A15" s="53">
        <v>45394</v>
      </c>
      <c r="B15" s="52">
        <v>39.979999999999997</v>
      </c>
    </row>
    <row r="16" spans="1:2" x14ac:dyDescent="0.3">
      <c r="A16" s="53">
        <v>45395</v>
      </c>
      <c r="B16" s="52">
        <v>19.989999999999998</v>
      </c>
    </row>
    <row r="17" spans="1:2" x14ac:dyDescent="0.3">
      <c r="A17" s="53">
        <v>45397</v>
      </c>
      <c r="B17" s="52">
        <v>399.98</v>
      </c>
    </row>
    <row r="18" spans="1:2" x14ac:dyDescent="0.3">
      <c r="A18" s="53">
        <v>45402</v>
      </c>
      <c r="B18" s="52">
        <v>49.99</v>
      </c>
    </row>
    <row r="19" spans="1:2" x14ac:dyDescent="0.3">
      <c r="A19" s="53">
        <v>45425</v>
      </c>
      <c r="B19" s="52">
        <v>3899.97</v>
      </c>
    </row>
    <row r="20" spans="1:2" x14ac:dyDescent="0.3">
      <c r="A20" s="53">
        <v>45433</v>
      </c>
      <c r="B20" s="52">
        <v>199.96</v>
      </c>
    </row>
    <row r="21" spans="1:2" x14ac:dyDescent="0.3">
      <c r="A21" s="53">
        <v>45435</v>
      </c>
      <c r="B21" s="52">
        <v>99.95</v>
      </c>
    </row>
    <row r="22" spans="1:2" x14ac:dyDescent="0.3">
      <c r="A22" s="53">
        <v>45439</v>
      </c>
      <c r="B22" s="52">
        <v>1349.97</v>
      </c>
    </row>
    <row r="23" spans="1:2" x14ac:dyDescent="0.3">
      <c r="A23" s="53">
        <v>45448</v>
      </c>
      <c r="B23" s="52">
        <v>19.98</v>
      </c>
    </row>
    <row r="24" spans="1:2" x14ac:dyDescent="0.3">
      <c r="A24" s="53">
        <v>45451</v>
      </c>
      <c r="B24" s="52">
        <v>159.97999999999999</v>
      </c>
    </row>
    <row r="25" spans="1:2" x14ac:dyDescent="0.3">
      <c r="A25" s="53">
        <v>45457</v>
      </c>
      <c r="B25" s="52">
        <v>2499.9499999999998</v>
      </c>
    </row>
    <row r="26" spans="1:2" x14ac:dyDescent="0.3">
      <c r="A26" s="53">
        <v>45471</v>
      </c>
      <c r="B26" s="52">
        <v>129.99</v>
      </c>
    </row>
    <row r="27" spans="1:2" x14ac:dyDescent="0.3">
      <c r="A27" s="53">
        <v>45483</v>
      </c>
      <c r="B27" s="52">
        <v>129.99</v>
      </c>
    </row>
    <row r="28" spans="1:2" x14ac:dyDescent="0.3">
      <c r="A28" s="53">
        <v>45488</v>
      </c>
      <c r="B28" s="52">
        <v>149.94999999999999</v>
      </c>
    </row>
    <row r="29" spans="1:2" x14ac:dyDescent="0.3">
      <c r="A29" s="53">
        <v>45493</v>
      </c>
      <c r="B29" s="52">
        <v>119.96</v>
      </c>
    </row>
    <row r="30" spans="1:2" x14ac:dyDescent="0.3">
      <c r="A30" s="53">
        <v>45495</v>
      </c>
      <c r="B30" s="52">
        <v>129.99</v>
      </c>
    </row>
    <row r="31" spans="1:2" x14ac:dyDescent="0.3">
      <c r="A31" s="53">
        <v>45508</v>
      </c>
      <c r="B31" s="52">
        <v>2499.9499999999998</v>
      </c>
    </row>
    <row r="32" spans="1:2" x14ac:dyDescent="0.3">
      <c r="A32" s="53">
        <v>45515</v>
      </c>
      <c r="B32" s="52">
        <v>1749.95</v>
      </c>
    </row>
    <row r="33" spans="1:2" x14ac:dyDescent="0.3">
      <c r="A33" s="53">
        <v>45516</v>
      </c>
      <c r="B33" s="52">
        <v>399.98</v>
      </c>
    </row>
    <row r="34" spans="1:2" x14ac:dyDescent="0.3">
      <c r="A34" s="53">
        <v>45528</v>
      </c>
      <c r="B34" s="52">
        <v>449.99</v>
      </c>
    </row>
    <row r="35" spans="1:2" x14ac:dyDescent="0.3">
      <c r="A35" s="53">
        <v>45553</v>
      </c>
      <c r="B35" s="52">
        <v>519.96</v>
      </c>
    </row>
    <row r="36" spans="1:2" x14ac:dyDescent="0.3">
      <c r="A36" s="53">
        <v>45554</v>
      </c>
      <c r="B36" s="52">
        <v>39.979999999999997</v>
      </c>
    </row>
    <row r="37" spans="1:2" x14ac:dyDescent="0.3">
      <c r="A37" s="53">
        <v>45560</v>
      </c>
      <c r="B37" s="52">
        <v>29.99</v>
      </c>
    </row>
    <row r="38" spans="1:2" x14ac:dyDescent="0.3">
      <c r="A38" s="53">
        <v>45562</v>
      </c>
      <c r="B38" s="52">
        <v>239.97</v>
      </c>
    </row>
    <row r="39" spans="1:2" x14ac:dyDescent="0.3">
      <c r="A39" s="53">
        <v>45576</v>
      </c>
      <c r="B39" s="52">
        <v>29.99</v>
      </c>
    </row>
    <row r="40" spans="1:2" x14ac:dyDescent="0.3">
      <c r="A40" s="53">
        <v>45580</v>
      </c>
      <c r="B40" s="52">
        <v>999.95</v>
      </c>
    </row>
    <row r="41" spans="1:2" x14ac:dyDescent="0.3">
      <c r="A41" s="53">
        <v>45583</v>
      </c>
      <c r="B41" s="52">
        <v>699.98</v>
      </c>
    </row>
    <row r="42" spans="1:2" x14ac:dyDescent="0.3">
      <c r="A42" s="53">
        <v>45587</v>
      </c>
      <c r="B42" s="52">
        <v>1999.96</v>
      </c>
    </row>
    <row r="43" spans="1:2" x14ac:dyDescent="0.3">
      <c r="A43" s="53">
        <v>45599</v>
      </c>
      <c r="B43" s="52">
        <v>2599.98</v>
      </c>
    </row>
    <row r="44" spans="1:2" x14ac:dyDescent="0.3">
      <c r="A44" s="53">
        <v>45601</v>
      </c>
      <c r="B44" s="52">
        <v>99.95</v>
      </c>
    </row>
    <row r="45" spans="1:2" x14ac:dyDescent="0.3">
      <c r="A45" s="53">
        <v>45604</v>
      </c>
      <c r="B45" s="52">
        <v>12999.9</v>
      </c>
    </row>
    <row r="46" spans="1:2" x14ac:dyDescent="0.3">
      <c r="A46" s="53">
        <v>45630</v>
      </c>
      <c r="B46" s="52">
        <v>79.989999999999995</v>
      </c>
    </row>
    <row r="47" spans="1:2" x14ac:dyDescent="0.3">
      <c r="A47" s="53">
        <v>45639</v>
      </c>
      <c r="B47" s="52">
        <v>79.989999999999995</v>
      </c>
    </row>
    <row r="48" spans="1:2" x14ac:dyDescent="0.3">
      <c r="A48" s="53">
        <v>45640</v>
      </c>
      <c r="B48" s="52">
        <v>799.96</v>
      </c>
    </row>
    <row r="49" spans="1:2" x14ac:dyDescent="0.3">
      <c r="A49" s="53">
        <v>45652</v>
      </c>
      <c r="B49" s="52">
        <v>999.98</v>
      </c>
    </row>
    <row r="50" spans="1:2" x14ac:dyDescent="0.3">
      <c r="A50" s="51" t="s">
        <v>132</v>
      </c>
      <c r="B50" s="52">
        <v>47468.62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sheetPr>
  <dimension ref="A1:E15"/>
  <sheetViews>
    <sheetView zoomScaleNormal="100" workbookViewId="0">
      <pane ySplit="3" topLeftCell="A4" activePane="bottomLeft" state="frozen"/>
      <selection pane="bottomLeft" activeCell="F29" sqref="F29"/>
    </sheetView>
  </sheetViews>
  <sheetFormatPr defaultColWidth="8.6640625" defaultRowHeight="14.4" x14ac:dyDescent="0.3"/>
  <cols>
    <col min="1" max="1" width="12.21875" customWidth="1"/>
    <col min="2" max="2" width="20" customWidth="1"/>
    <col min="3" max="3" width="16" customWidth="1"/>
    <col min="4" max="4" width="15" customWidth="1"/>
    <col min="5" max="5" width="10" customWidth="1"/>
  </cols>
  <sheetData>
    <row r="1" spans="1:5" ht="39.75" customHeight="1" x14ac:dyDescent="0.3">
      <c r="A1" s="48" t="s">
        <v>113</v>
      </c>
      <c r="B1" s="48"/>
      <c r="C1" s="48"/>
      <c r="D1" s="48"/>
      <c r="E1" s="48"/>
    </row>
    <row r="3" spans="1:5" x14ac:dyDescent="0.3">
      <c r="A3" s="31" t="s">
        <v>114</v>
      </c>
      <c r="B3" s="32" t="s">
        <v>115</v>
      </c>
      <c r="C3" s="32" t="s">
        <v>22</v>
      </c>
      <c r="D3" s="32" t="s">
        <v>24</v>
      </c>
      <c r="E3" s="33" t="s">
        <v>116</v>
      </c>
    </row>
    <row r="4" spans="1:5" x14ac:dyDescent="0.3">
      <c r="A4" s="16" t="s">
        <v>117</v>
      </c>
      <c r="B4" s="5" t="s">
        <v>36</v>
      </c>
      <c r="C4" s="5" t="s">
        <v>37</v>
      </c>
      <c r="D4" s="6">
        <v>1299.99</v>
      </c>
      <c r="E4" s="35" t="s">
        <v>118</v>
      </c>
    </row>
    <row r="5" spans="1:5" x14ac:dyDescent="0.3">
      <c r="A5" s="17" t="s">
        <v>119</v>
      </c>
      <c r="B5" s="2" t="s">
        <v>81</v>
      </c>
      <c r="C5" s="2" t="s">
        <v>37</v>
      </c>
      <c r="D5" s="9">
        <v>29.99</v>
      </c>
      <c r="E5" s="36" t="s">
        <v>118</v>
      </c>
    </row>
    <row r="6" spans="1:5" x14ac:dyDescent="0.3">
      <c r="A6" s="16" t="s">
        <v>120</v>
      </c>
      <c r="B6" s="5" t="s">
        <v>54</v>
      </c>
      <c r="C6" s="5" t="s">
        <v>29</v>
      </c>
      <c r="D6" s="6">
        <v>349.99</v>
      </c>
      <c r="E6" s="35" t="s">
        <v>118</v>
      </c>
    </row>
    <row r="7" spans="1:5" x14ac:dyDescent="0.3">
      <c r="A7" s="17" t="s">
        <v>121</v>
      </c>
      <c r="B7" s="2" t="s">
        <v>32</v>
      </c>
      <c r="C7" s="2" t="s">
        <v>29</v>
      </c>
      <c r="D7" s="9">
        <v>599.99</v>
      </c>
      <c r="E7" s="36" t="s">
        <v>118</v>
      </c>
    </row>
    <row r="8" spans="1:5" x14ac:dyDescent="0.3">
      <c r="A8" s="16" t="s">
        <v>122</v>
      </c>
      <c r="B8" s="5" t="s">
        <v>63</v>
      </c>
      <c r="C8" s="5" t="s">
        <v>46</v>
      </c>
      <c r="D8" s="6">
        <v>19.989999999999998</v>
      </c>
      <c r="E8" s="35" t="s">
        <v>118</v>
      </c>
    </row>
    <row r="9" spans="1:5" x14ac:dyDescent="0.3">
      <c r="A9" s="17" t="s">
        <v>123</v>
      </c>
      <c r="B9" s="2" t="s">
        <v>57</v>
      </c>
      <c r="C9" s="2" t="s">
        <v>37</v>
      </c>
      <c r="D9" s="9">
        <v>49.99</v>
      </c>
      <c r="E9" s="36" t="s">
        <v>118</v>
      </c>
    </row>
    <row r="10" spans="1:5" x14ac:dyDescent="0.3">
      <c r="A10" s="16" t="s">
        <v>124</v>
      </c>
      <c r="B10" s="5" t="s">
        <v>50</v>
      </c>
      <c r="C10" s="5" t="s">
        <v>37</v>
      </c>
      <c r="D10" s="6">
        <v>449.99</v>
      </c>
      <c r="E10" s="35" t="s">
        <v>118</v>
      </c>
    </row>
    <row r="11" spans="1:5" x14ac:dyDescent="0.3">
      <c r="A11" s="17" t="s">
        <v>125</v>
      </c>
      <c r="B11" s="2" t="s">
        <v>59</v>
      </c>
      <c r="C11" s="2" t="s">
        <v>37</v>
      </c>
      <c r="D11" s="9">
        <v>79.989999999999995</v>
      </c>
      <c r="E11" s="36" t="s">
        <v>118</v>
      </c>
    </row>
    <row r="12" spans="1:5" x14ac:dyDescent="0.3">
      <c r="A12" s="16" t="s">
        <v>126</v>
      </c>
      <c r="B12" s="5" t="s">
        <v>60</v>
      </c>
      <c r="C12" s="5" t="s">
        <v>37</v>
      </c>
      <c r="D12" s="6">
        <v>129.99</v>
      </c>
      <c r="E12" s="35" t="s">
        <v>118</v>
      </c>
    </row>
    <row r="13" spans="1:5" x14ac:dyDescent="0.3">
      <c r="A13" s="17" t="s">
        <v>127</v>
      </c>
      <c r="B13" s="2" t="s">
        <v>45</v>
      </c>
      <c r="C13" s="2" t="s">
        <v>46</v>
      </c>
      <c r="D13" s="9">
        <v>9.99</v>
      </c>
      <c r="E13" s="36" t="s">
        <v>118</v>
      </c>
    </row>
    <row r="14" spans="1:5" x14ac:dyDescent="0.3">
      <c r="A14" s="16" t="s">
        <v>128</v>
      </c>
      <c r="B14" s="5" t="s">
        <v>28</v>
      </c>
      <c r="C14" s="5" t="s">
        <v>29</v>
      </c>
      <c r="D14" s="6">
        <v>199.99</v>
      </c>
      <c r="E14" s="35" t="s">
        <v>118</v>
      </c>
    </row>
    <row r="15" spans="1:5" x14ac:dyDescent="0.3">
      <c r="A15" s="26" t="s">
        <v>129</v>
      </c>
      <c r="B15" s="28" t="s">
        <v>43</v>
      </c>
      <c r="C15" s="28" t="s">
        <v>37</v>
      </c>
      <c r="D15" s="29">
        <v>499.99</v>
      </c>
      <c r="E15" s="37" t="s">
        <v>118</v>
      </c>
    </row>
  </sheetData>
  <mergeCells count="1">
    <mergeCell ref="A1:E1"/>
  </mergeCells>
  <pageMargins left="0.75" right="0.75" top="1" bottom="1"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2C1F643-DA54-4A51-A278-37C3F1A7510A}">
  <ds:schemaRefs/>
</ds:datastoreItem>
</file>

<file path=customXml/itemProps2.xml><?xml version="1.0" encoding="utf-8"?>
<ds:datastoreItem xmlns:ds="http://schemas.openxmlformats.org/officeDocument/2006/customXml" ds:itemID="{237AF9CF-F87F-40D6-9898-5F0E5F4F37DD}">
  <ds:schemaRefs/>
</ds:datastoreItem>
</file>

<file path=customXml/itemProps3.xml><?xml version="1.0" encoding="utf-8"?>
<ds:datastoreItem xmlns:ds="http://schemas.openxmlformats.org/officeDocument/2006/customXml" ds:itemID="{A0DC193F-2510-4F51-BB68-249A1E7DDA24}">
  <ds:schemaRefs/>
</ds:datastoreItem>
</file>

<file path=customXml/itemProps4.xml><?xml version="1.0" encoding="utf-8"?>
<ds:datastoreItem xmlns:ds="http://schemas.openxmlformats.org/officeDocument/2006/customXml" ds:itemID="{E53F59A8-5AEC-44F2-A41D-FC1D027AF1FA}">
  <ds:schemaRefs/>
</ds:datastoreItem>
</file>

<file path=customXml/itemProps5.xml><?xml version="1.0" encoding="utf-8"?>
<ds:datastoreItem xmlns:ds="http://schemas.openxmlformats.org/officeDocument/2006/customXml" ds:itemID="{2F09AF91-28AB-4C88-9AD4-9BC60163678F}">
  <ds:schemaRefs/>
</ds:datastoreItem>
</file>

<file path=customXml/itemProps6.xml><?xml version="1.0" encoding="utf-8"?>
<ds:datastoreItem xmlns:ds="http://schemas.openxmlformats.org/officeDocument/2006/customXml" ds:itemID="{E09EC0AE-2257-4E31-A4FA-94343CE406A4}">
  <ds:schemaRefs/>
</ds:datastoreItem>
</file>

<file path=customXml/itemProps7.xml><?xml version="1.0" encoding="utf-8"?>
<ds:datastoreItem xmlns:ds="http://schemas.openxmlformats.org/officeDocument/2006/customXml" ds:itemID="{50D2050B-7DCF-46F7-A32A-0CB9FE2709F0}">
  <ds:schemaRefs/>
</ds:datastoreItem>
</file>

<file path=customXml/itemProps8.xml><?xml version="1.0" encoding="utf-8"?>
<ds:datastoreItem xmlns:ds="http://schemas.openxmlformats.org/officeDocument/2006/customXml" ds:itemID="{D1362980-1CB0-4439-BA41-3CC2CD5411AA}">
  <ds:schemaRefs/>
</ds:datastoreItem>
</file>

<file path=customXml/itemProps9.xml><?xml version="1.0" encoding="utf-8"?>
<ds:datastoreItem xmlns:ds="http://schemas.openxmlformats.org/officeDocument/2006/customXml" ds:itemID="{05A4AB1F-8592-490E-8971-CF17A059B454}">
  <ds:schemaRefs/>
</ds:datastoreItem>
</file>

<file path=customXml/itemProps10.xml><?xml version="1.0" encoding="utf-8"?>
<ds:datastoreItem xmlns:ds="http://schemas.openxmlformats.org/officeDocument/2006/customXml" ds:itemID="{109EAFF5-6223-4AFC-9C4A-F025AD355803}">
  <ds:schemaRefs/>
</ds:datastoreItem>
</file>

<file path=customXml/itemProps11.xml><?xml version="1.0" encoding="utf-8"?>
<ds:datastoreItem xmlns:ds="http://schemas.openxmlformats.org/officeDocument/2006/customXml" ds:itemID="{BEA93F43-1D94-40A6-95C8-1C2873EE215C}">
  <ds:schemaRefs/>
</ds:datastoreItem>
</file>

<file path=customXml/itemProps12.xml><?xml version="1.0" encoding="utf-8"?>
<ds:datastoreItem xmlns:ds="http://schemas.openxmlformats.org/officeDocument/2006/customXml" ds:itemID="{74A9EAFC-EB59-4B21-B2EC-BC0308FC7814}">
  <ds:schemaRefs/>
</ds:datastoreItem>
</file>

<file path=customXml/itemProps13.xml><?xml version="1.0" encoding="utf-8"?>
<ds:datastoreItem xmlns:ds="http://schemas.openxmlformats.org/officeDocument/2006/customXml" ds:itemID="{67A6BA0D-48D6-4F3F-BB07-83DB80C595F7}">
  <ds:schemaRefs/>
</ds:datastoreItem>
</file>

<file path=customXml/itemProps14.xml><?xml version="1.0" encoding="utf-8"?>
<ds:datastoreItem xmlns:ds="http://schemas.openxmlformats.org/officeDocument/2006/customXml" ds:itemID="{00D04ABA-1FA6-4033-886E-5615879C61E0}">
  <ds:schemaRefs/>
</ds:datastoreItem>
</file>

<file path=customXml/itemProps15.xml><?xml version="1.0" encoding="utf-8"?>
<ds:datastoreItem xmlns:ds="http://schemas.openxmlformats.org/officeDocument/2006/customXml" ds:itemID="{9AA7416F-DEA6-4EB7-B137-ADFC4E562AA4}">
  <ds:schemaRefs/>
</ds:datastoreItem>
</file>

<file path=customXml/itemProps16.xml><?xml version="1.0" encoding="utf-8"?>
<ds:datastoreItem xmlns:ds="http://schemas.openxmlformats.org/officeDocument/2006/customXml" ds:itemID="{2DFE490B-B3D3-4F3E-BD93-BEE9652DE15F}">
  <ds:schemaRefs/>
</ds:datastoreItem>
</file>

<file path=customXml/itemProps17.xml><?xml version="1.0" encoding="utf-8"?>
<ds:datastoreItem xmlns:ds="http://schemas.openxmlformats.org/officeDocument/2006/customXml" ds:itemID="{DFC33873-88D7-43D0-B3D4-7159AC3BEDCF}">
  <ds:schemaRefs/>
</ds:datastoreItem>
</file>

<file path=customXml/itemProps18.xml><?xml version="1.0" encoding="utf-8"?>
<ds:datastoreItem xmlns:ds="http://schemas.openxmlformats.org/officeDocument/2006/customXml" ds:itemID="{0D48DC21-924A-424C-AAF4-F7B69F596E92}">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Raw_Business_Data</vt:lpstr>
      <vt:lpstr>Cleaned_Sales_Data</vt:lpstr>
      <vt:lpstr>DAX_Measures</vt:lpstr>
      <vt:lpstr>Pivot_Region</vt:lpstr>
      <vt:lpstr>Pivot_Product</vt:lpstr>
      <vt:lpstr>Pivot_Monthly</vt:lpstr>
      <vt:lpstr>Products_Table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PC</cp:lastModifiedBy>
  <cp:revision>1</cp:revision>
  <dcterms:created xsi:type="dcterms:W3CDTF">2026-05-25T08:51:01Z</dcterms:created>
  <dcterms:modified xsi:type="dcterms:W3CDTF">2026-05-31T15:27:05Z</dcterms:modified>
  <dc:language>en-US</dc:language>
</cp:coreProperties>
</file>